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mjglinsk_syr_edu/Documents/Desktop/Reports etc/Christian Bright/"/>
    </mc:Choice>
  </mc:AlternateContent>
  <xr:revisionPtr revIDLastSave="84" documentId="8_{D009FB66-2895-4020-B73F-A4CB49DCAA07}" xr6:coauthVersionLast="47" xr6:coauthVersionMax="47" xr10:uidLastSave="{49F72DBA-4A59-48F3-8354-09FC8C06C4A1}"/>
  <bookViews>
    <workbookView xWindow="-120" yWindow="-120" windowWidth="29040" windowHeight="15840" activeTab="4" xr2:uid="{0C7786DF-D35D-482C-8B89-B08A61BB8BA3}"/>
  </bookViews>
  <sheets>
    <sheet name="MGIR250124_CB Sample DOC" sheetId="1" r:id="rId1"/>
    <sheet name="Calibration" sheetId="2" r:id="rId2"/>
    <sheet name="QC" sheetId="3" r:id="rId3"/>
    <sheet name="Samples" sheetId="4" r:id="rId4"/>
    <sheet name="Reported Results" sheetId="5" r:id="rId5"/>
    <sheet name="C.A.L" sheetId="6" r:id="rId6"/>
  </sheets>
  <calcPr calcId="0"/>
</workbook>
</file>

<file path=xl/calcChain.xml><?xml version="1.0" encoding="utf-8"?>
<calcChain xmlns="http://schemas.openxmlformats.org/spreadsheetml/2006/main">
  <c r="B18" i="3" l="1"/>
  <c r="C3" i="4"/>
  <c r="D3" i="4" s="1"/>
  <c r="C3" i="3"/>
  <c r="D3" i="3" s="1"/>
  <c r="E3" i="3"/>
  <c r="C5" i="3"/>
  <c r="D5" i="3" s="1"/>
  <c r="E5" i="3"/>
  <c r="C7" i="3"/>
  <c r="E7" i="3" s="1"/>
  <c r="C9" i="3"/>
  <c r="E9" i="3" s="1"/>
  <c r="D3" i="2"/>
  <c r="E3" i="2" s="1"/>
  <c r="D5" i="2"/>
  <c r="E5" i="2" s="1"/>
  <c r="D7" i="2"/>
  <c r="E7" i="2" s="1"/>
  <c r="D9" i="2"/>
  <c r="E9" i="2" s="1"/>
  <c r="D11" i="2"/>
  <c r="E11" i="2" s="1"/>
  <c r="D13" i="2"/>
  <c r="E13" i="2" s="1"/>
  <c r="D15" i="2"/>
  <c r="E15" i="2" s="1"/>
  <c r="F3" i="4" l="1"/>
  <c r="D7" i="3"/>
  <c r="D9" i="3"/>
</calcChain>
</file>

<file path=xl/sharedStrings.xml><?xml version="1.0" encoding="utf-8"?>
<sst xmlns="http://schemas.openxmlformats.org/spreadsheetml/2006/main" count="362" uniqueCount="79">
  <si>
    <t>Report ID</t>
  </si>
  <si>
    <t>Instrument Name</t>
  </si>
  <si>
    <t>Instrument Version</t>
  </si>
  <si>
    <t>Schedule Name</t>
  </si>
  <si>
    <t>Sample Timestamp</t>
  </si>
  <si>
    <t>Sample Number</t>
  </si>
  <si>
    <t>Sample ID</t>
  </si>
  <si>
    <t>Sample Type</t>
  </si>
  <si>
    <t>Mean (per analysis type)</t>
  </si>
  <si>
    <t>Replicate Count</t>
  </si>
  <si>
    <t>Vial Position</t>
  </si>
  <si>
    <t>PPM</t>
  </si>
  <si>
    <t>Adjusted ABS</t>
  </si>
  <si>
    <t>Sample Pressure (psig)</t>
  </si>
  <si>
    <t>Method Name</t>
  </si>
  <si>
    <t>mario (mario)[f965748c-c0fa-4399-8f56-1f555046e219]</t>
  </si>
  <si>
    <t>Fusion</t>
  </si>
  <si>
    <t>MGIR250124_CB Sample</t>
  </si>
  <si>
    <t>Clean</t>
  </si>
  <si>
    <t>(Clean)</t>
  </si>
  <si>
    <t>Reagent/Acid Blank</t>
  </si>
  <si>
    <t>Blank</t>
  </si>
  <si>
    <t>(Blank)</t>
  </si>
  <si>
    <t>Samples</t>
  </si>
  <si>
    <t>B</t>
  </si>
  <si>
    <t>TOC Waste Water</t>
  </si>
  <si>
    <t>MDL (0.2)</t>
  </si>
  <si>
    <t>QCS (18)</t>
  </si>
  <si>
    <t>C</t>
  </si>
  <si>
    <t>QCB</t>
  </si>
  <si>
    <t>CCV1 (10)</t>
  </si>
  <si>
    <t>A</t>
  </si>
  <si>
    <t>TOC Waste Water 1;10 Dilution</t>
  </si>
  <si>
    <t>CCB1</t>
  </si>
  <si>
    <t>MWR N/S</t>
  </si>
  <si>
    <t>CCV2</t>
  </si>
  <si>
    <t>CCB2</t>
  </si>
  <si>
    <t>%RPD &lt;10</t>
  </si>
  <si>
    <t>[TOC] TOC 20ppm CAL [20.000 ppm]</t>
  </si>
  <si>
    <t>[TOC] TOC 20ppm CAL [10]</t>
  </si>
  <si>
    <t>[TOC] TOC 20ppm CAL [5]</t>
  </si>
  <si>
    <t>[TOC] TOC 20ppm CAL [2]</t>
  </si>
  <si>
    <t>[TOC] TOC 20ppm CAL [1]</t>
  </si>
  <si>
    <t>[TOC] TOC 20ppm CAL [0.4]</t>
  </si>
  <si>
    <t>[TOC] TOC 20ppm CAL [DI Water]</t>
  </si>
  <si>
    <t>%RPD</t>
  </si>
  <si>
    <t>Average</t>
  </si>
  <si>
    <t>NDIR (ADJUSTED ABS)</t>
  </si>
  <si>
    <t>Curve Value</t>
  </si>
  <si>
    <t>CCV1</t>
  </si>
  <si>
    <t>*%R 85-115</t>
  </si>
  <si>
    <t>QCS</t>
  </si>
  <si>
    <t>*%R MDL- 45-145</t>
  </si>
  <si>
    <t>MDL</t>
  </si>
  <si>
    <t>%R</t>
  </si>
  <si>
    <t>Mean ppm C</t>
  </si>
  <si>
    <t>PPM C</t>
  </si>
  <si>
    <t>umol/L C</t>
  </si>
  <si>
    <t>Date</t>
  </si>
  <si>
    <t>Project Investigator</t>
  </si>
  <si>
    <t>QA/QC Reviewer</t>
  </si>
  <si>
    <t>Mike Glinski</t>
  </si>
  <si>
    <t>Reviewed by:</t>
  </si>
  <si>
    <t>Above Curve: Dilute and Retest</t>
  </si>
  <si>
    <t>Below Detection Limit: Retest</t>
  </si>
  <si>
    <t>Corrective Action/Explanation</t>
  </si>
  <si>
    <t>Criteria Comparison</t>
  </si>
  <si>
    <t>Affected Samples</t>
  </si>
  <si>
    <t>Excursions</t>
  </si>
  <si>
    <t>Project Number(s)/Batch Numbers</t>
  </si>
  <si>
    <t>Waste Water, 1:10 Dilution</t>
  </si>
  <si>
    <t>Method: TOC</t>
  </si>
  <si>
    <t xml:space="preserve">Date of Analysis: </t>
  </si>
  <si>
    <t>Instrument: Fusion</t>
  </si>
  <si>
    <t xml:space="preserve">Analyst: </t>
  </si>
  <si>
    <t>Corrective Action Log</t>
  </si>
  <si>
    <t>CESE</t>
  </si>
  <si>
    <t>Attachment 1</t>
  </si>
  <si>
    <t>Mike Glinski, Ilana Robbins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</si>
</sst>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22" fontId="0" fillId="0" borderId="0" xfId="0" applyNumberFormat="1"/>
    <xf numFmtId="164" fontId="18" fillId="0" borderId="0" xfId="0" applyNumberFormat="1" applyFont="1"/>
    <xf numFmtId="164" fontId="0" fillId="0" borderId="0" xfId="0" applyNumberFormat="1"/>
    <xf numFmtId="0" fontId="18" fillId="0" borderId="0" xfId="0" applyFont="1"/>
    <xf numFmtId="0" fontId="18" fillId="33" borderId="0" xfId="0" applyFont="1" applyFill="1"/>
    <xf numFmtId="2" fontId="18" fillId="0" borderId="0" xfId="0" applyNumberFormat="1" applyFont="1"/>
    <xf numFmtId="0" fontId="18" fillId="0" borderId="0" xfId="0" applyFont="1" applyAlignment="1">
      <alignment horizontal="center"/>
    </xf>
    <xf numFmtId="164" fontId="14" fillId="0" borderId="0" xfId="0" applyNumberFormat="1" applyFont="1"/>
    <xf numFmtId="0" fontId="14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4" fontId="0" fillId="0" borderId="11" xfId="0" applyNumberFormat="1" applyBorder="1"/>
    <xf numFmtId="0" fontId="0" fillId="0" borderId="0" xfId="0" applyAlignment="1">
      <alignment horizontal="right"/>
    </xf>
    <xf numFmtId="0" fontId="0" fillId="34" borderId="12" xfId="0" applyFill="1" applyBorder="1" applyAlignment="1">
      <alignment wrapText="1"/>
    </xf>
    <xf numFmtId="0" fontId="0" fillId="0" borderId="12" xfId="0" applyBorder="1"/>
    <xf numFmtId="0" fontId="0" fillId="33" borderId="12" xfId="0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164" fontId="18" fillId="0" borderId="12" xfId="0" applyNumberFormat="1" applyFont="1" applyBorder="1"/>
    <xf numFmtId="0" fontId="0" fillId="35" borderId="12" xfId="0" applyFill="1" applyBorder="1" applyAlignment="1">
      <alignment wrapText="1"/>
    </xf>
    <xf numFmtId="0" fontId="0" fillId="0" borderId="13" xfId="0" applyBorder="1"/>
    <xf numFmtId="0" fontId="19" fillId="0" borderId="12" xfId="0" applyFont="1" applyBorder="1"/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19" fillId="0" borderId="12" xfId="0" applyFont="1" applyBorder="1" applyAlignment="1">
      <alignment horizontal="right"/>
    </xf>
    <xf numFmtId="0" fontId="19" fillId="0" borderId="14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Calibration!$D$1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491338582677166"/>
                  <c:y val="-1.22506561679790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(Calibration!$B$3,Calibration!$B$5,Calibration!$B$7,Calibration!$B$9,Calibration!$B$11,Calibration!$B$13,Calibration!$B$15)</c:f>
              <c:numCache>
                <c:formatCode>General</c:formatCode>
                <c:ptCount val="7"/>
                <c:pt idx="0">
                  <c:v>0</c:v>
                </c:pt>
                <c:pt idx="1">
                  <c:v>0.4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(Calibration!$D$3,Calibration!$D$5,Calibration!$D$7,Calibration!$D$9,Calibration!$D$11,Calibration!$D$13,Calibration!$D$15)</c:f>
              <c:numCache>
                <c:formatCode>0.000</c:formatCode>
                <c:ptCount val="7"/>
                <c:pt idx="0">
                  <c:v>4.5649999999999995</c:v>
                </c:pt>
                <c:pt idx="1">
                  <c:v>10.425000000000001</c:v>
                </c:pt>
                <c:pt idx="2">
                  <c:v>19.865000000000002</c:v>
                </c:pt>
                <c:pt idx="3">
                  <c:v>34.92</c:v>
                </c:pt>
                <c:pt idx="4">
                  <c:v>81.324999999999989</c:v>
                </c:pt>
                <c:pt idx="5">
                  <c:v>160.70499999999998</c:v>
                </c:pt>
                <c:pt idx="6">
                  <c:v>304.48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C7-41C2-8F25-653256B03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96319"/>
        <c:axId val="1640895071"/>
      </c:scatterChart>
      <c:valAx>
        <c:axId val="164089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95071"/>
        <c:crosses val="autoZero"/>
        <c:crossBetween val="midCat"/>
      </c:valAx>
      <c:valAx>
        <c:axId val="16408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9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0</xdr:row>
      <xdr:rowOff>47625</xdr:rowOff>
    </xdr:from>
    <xdr:to>
      <xdr:col>12</xdr:col>
      <xdr:colOff>419100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88302-36D7-4554-83D1-7DA814FE4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E3CB-B614-414B-8F9E-A4FED0D9ED5D}">
  <dimension ref="A1:O44"/>
  <sheetViews>
    <sheetView topLeftCell="A4" workbookViewId="0">
      <selection activeCell="G23" sqref="G23:H31"/>
    </sheetView>
  </sheetViews>
  <sheetFormatPr defaultRowHeight="15" x14ac:dyDescent="0.25"/>
  <cols>
    <col min="5" max="5" width="18.140625" bestFit="1" customWidth="1"/>
    <col min="9" max="9" width="22.85546875" bestFit="1" customWidth="1"/>
    <col min="13" max="13" width="12.42578125" bestFit="1" customWidth="1"/>
    <col min="15" max="15" width="28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</v>
      </c>
      <c r="D2" t="s">
        <v>17</v>
      </c>
      <c r="E2" s="1">
        <v>45681.709930555553</v>
      </c>
      <c r="F2">
        <v>1</v>
      </c>
      <c r="G2" t="s">
        <v>18</v>
      </c>
      <c r="H2" t="s">
        <v>18</v>
      </c>
      <c r="J2">
        <v>4</v>
      </c>
      <c r="K2" t="s">
        <v>19</v>
      </c>
      <c r="M2">
        <v>-5.43</v>
      </c>
      <c r="N2">
        <v>49.887</v>
      </c>
    </row>
    <row r="3" spans="1:15" x14ac:dyDescent="0.25">
      <c r="A3" t="s">
        <v>15</v>
      </c>
      <c r="B3" t="s">
        <v>16</v>
      </c>
      <c r="C3">
        <v>1</v>
      </c>
      <c r="D3" t="s">
        <v>17</v>
      </c>
      <c r="E3" s="1">
        <v>45681.709930555553</v>
      </c>
      <c r="F3">
        <v>1</v>
      </c>
      <c r="G3" t="s">
        <v>18</v>
      </c>
      <c r="H3" t="s">
        <v>18</v>
      </c>
      <c r="J3">
        <v>4</v>
      </c>
      <c r="K3" t="s">
        <v>19</v>
      </c>
      <c r="M3">
        <v>39.36</v>
      </c>
      <c r="N3">
        <v>50.665999999999997</v>
      </c>
    </row>
    <row r="4" spans="1:15" x14ac:dyDescent="0.25">
      <c r="A4" t="s">
        <v>15</v>
      </c>
      <c r="B4" t="s">
        <v>16</v>
      </c>
      <c r="C4">
        <v>1</v>
      </c>
      <c r="D4" t="s">
        <v>17</v>
      </c>
      <c r="E4" s="1">
        <v>45681.709930555553</v>
      </c>
      <c r="F4">
        <v>1</v>
      </c>
      <c r="G4" t="s">
        <v>18</v>
      </c>
      <c r="H4" t="s">
        <v>18</v>
      </c>
      <c r="J4">
        <v>4</v>
      </c>
      <c r="K4" t="s">
        <v>19</v>
      </c>
      <c r="M4">
        <v>8.51</v>
      </c>
      <c r="N4">
        <v>51.048999999999999</v>
      </c>
    </row>
    <row r="5" spans="1:15" x14ac:dyDescent="0.25">
      <c r="A5" t="s">
        <v>15</v>
      </c>
      <c r="B5" t="s">
        <v>16</v>
      </c>
      <c r="C5">
        <v>1</v>
      </c>
      <c r="D5" t="s">
        <v>17</v>
      </c>
      <c r="E5" s="1">
        <v>45681.709930555553</v>
      </c>
      <c r="F5">
        <v>1</v>
      </c>
      <c r="G5" t="s">
        <v>18</v>
      </c>
      <c r="H5" t="s">
        <v>18</v>
      </c>
      <c r="J5">
        <v>4</v>
      </c>
      <c r="K5" t="s">
        <v>19</v>
      </c>
      <c r="M5">
        <v>4.6399999999999997</v>
      </c>
      <c r="N5">
        <v>50.151000000000003</v>
      </c>
    </row>
    <row r="6" spans="1:15" x14ac:dyDescent="0.25">
      <c r="A6" t="s">
        <v>15</v>
      </c>
      <c r="B6" t="s">
        <v>16</v>
      </c>
      <c r="C6">
        <v>1</v>
      </c>
      <c r="D6" t="s">
        <v>17</v>
      </c>
      <c r="E6" s="1">
        <v>45681.725590277776</v>
      </c>
      <c r="F6">
        <v>2</v>
      </c>
      <c r="G6" t="s">
        <v>18</v>
      </c>
      <c r="H6" t="s">
        <v>18</v>
      </c>
      <c r="J6">
        <v>4</v>
      </c>
      <c r="K6" t="s">
        <v>19</v>
      </c>
      <c r="M6">
        <v>10.65</v>
      </c>
      <c r="N6">
        <v>49.622</v>
      </c>
    </row>
    <row r="7" spans="1:15" x14ac:dyDescent="0.25">
      <c r="A7" t="s">
        <v>15</v>
      </c>
      <c r="B7" t="s">
        <v>16</v>
      </c>
      <c r="C7">
        <v>1</v>
      </c>
      <c r="D7" t="s">
        <v>17</v>
      </c>
      <c r="E7" s="1">
        <v>45681.725590277776</v>
      </c>
      <c r="F7">
        <v>2</v>
      </c>
      <c r="G7" t="s">
        <v>18</v>
      </c>
      <c r="H7" t="s">
        <v>18</v>
      </c>
      <c r="J7">
        <v>4</v>
      </c>
      <c r="K7" t="s">
        <v>19</v>
      </c>
      <c r="M7">
        <v>10.93</v>
      </c>
      <c r="N7">
        <v>50.164999999999999</v>
      </c>
    </row>
    <row r="8" spans="1:15" x14ac:dyDescent="0.25">
      <c r="A8" t="s">
        <v>15</v>
      </c>
      <c r="B8" t="s">
        <v>16</v>
      </c>
      <c r="C8">
        <v>1</v>
      </c>
      <c r="D8" t="s">
        <v>17</v>
      </c>
      <c r="E8" s="1">
        <v>45681.725590277776</v>
      </c>
      <c r="F8">
        <v>2</v>
      </c>
      <c r="G8" t="s">
        <v>18</v>
      </c>
      <c r="H8" t="s">
        <v>18</v>
      </c>
      <c r="J8">
        <v>4</v>
      </c>
      <c r="K8" t="s">
        <v>19</v>
      </c>
      <c r="M8">
        <v>3.75</v>
      </c>
      <c r="N8">
        <v>50.976999999999997</v>
      </c>
    </row>
    <row r="9" spans="1:15" x14ac:dyDescent="0.25">
      <c r="A9" t="s">
        <v>15</v>
      </c>
      <c r="B9" t="s">
        <v>16</v>
      </c>
      <c r="C9">
        <v>1</v>
      </c>
      <c r="D9" t="s">
        <v>17</v>
      </c>
      <c r="E9" s="1">
        <v>45681.725590277776</v>
      </c>
      <c r="F9">
        <v>2</v>
      </c>
      <c r="G9" t="s">
        <v>18</v>
      </c>
      <c r="H9" t="s">
        <v>18</v>
      </c>
      <c r="J9">
        <v>4</v>
      </c>
      <c r="K9" t="s">
        <v>19</v>
      </c>
      <c r="M9">
        <v>2.72</v>
      </c>
      <c r="N9">
        <v>51.085000000000001</v>
      </c>
    </row>
    <row r="10" spans="1:15" x14ac:dyDescent="0.25">
      <c r="A10" t="s">
        <v>15</v>
      </c>
      <c r="B10" t="s">
        <v>16</v>
      </c>
      <c r="C10">
        <v>1</v>
      </c>
      <c r="D10" t="s">
        <v>17</v>
      </c>
      <c r="E10" s="1">
        <v>45681.741030092591</v>
      </c>
      <c r="F10">
        <v>3</v>
      </c>
      <c r="G10" t="s">
        <v>20</v>
      </c>
      <c r="H10" t="s">
        <v>21</v>
      </c>
      <c r="J10">
        <v>6</v>
      </c>
      <c r="K10" t="s">
        <v>22</v>
      </c>
      <c r="M10">
        <v>9.06</v>
      </c>
      <c r="N10">
        <v>49.704000000000001</v>
      </c>
    </row>
    <row r="11" spans="1:15" x14ac:dyDescent="0.25">
      <c r="A11" t="s">
        <v>15</v>
      </c>
      <c r="B11" t="s">
        <v>16</v>
      </c>
      <c r="C11">
        <v>1</v>
      </c>
      <c r="D11" t="s">
        <v>17</v>
      </c>
      <c r="E11" s="1">
        <v>45681.741030092591</v>
      </c>
      <c r="F11">
        <v>3</v>
      </c>
      <c r="G11" t="s">
        <v>20</v>
      </c>
      <c r="H11" t="s">
        <v>21</v>
      </c>
      <c r="J11">
        <v>6</v>
      </c>
      <c r="K11" t="s">
        <v>22</v>
      </c>
      <c r="M11">
        <v>6.85</v>
      </c>
      <c r="N11">
        <v>50.070999999999998</v>
      </c>
    </row>
    <row r="12" spans="1:15" x14ac:dyDescent="0.25">
      <c r="A12" t="s">
        <v>15</v>
      </c>
      <c r="B12" t="s">
        <v>16</v>
      </c>
      <c r="C12">
        <v>1</v>
      </c>
      <c r="D12" t="s">
        <v>17</v>
      </c>
      <c r="E12" s="1">
        <v>45681.741030092591</v>
      </c>
      <c r="F12">
        <v>3</v>
      </c>
      <c r="G12" t="s">
        <v>20</v>
      </c>
      <c r="H12" t="s">
        <v>21</v>
      </c>
      <c r="J12">
        <v>6</v>
      </c>
      <c r="K12" t="s">
        <v>22</v>
      </c>
      <c r="M12">
        <v>3.21</v>
      </c>
      <c r="N12">
        <v>50.345999999999997</v>
      </c>
    </row>
    <row r="13" spans="1:15" x14ac:dyDescent="0.25">
      <c r="A13" t="s">
        <v>15</v>
      </c>
      <c r="B13" t="s">
        <v>16</v>
      </c>
      <c r="C13">
        <v>1</v>
      </c>
      <c r="D13" t="s">
        <v>17</v>
      </c>
      <c r="E13" s="1">
        <v>45681.741030092591</v>
      </c>
      <c r="F13">
        <v>3</v>
      </c>
      <c r="G13" t="s">
        <v>20</v>
      </c>
      <c r="H13" t="s">
        <v>21</v>
      </c>
      <c r="J13">
        <v>6</v>
      </c>
      <c r="K13" t="s">
        <v>22</v>
      </c>
      <c r="M13">
        <v>2.02</v>
      </c>
      <c r="N13">
        <v>50.692999999999998</v>
      </c>
    </row>
    <row r="14" spans="1:15" x14ac:dyDescent="0.25">
      <c r="A14" t="s">
        <v>15</v>
      </c>
      <c r="B14" t="s">
        <v>16</v>
      </c>
      <c r="C14">
        <v>1</v>
      </c>
      <c r="D14" t="s">
        <v>17</v>
      </c>
      <c r="E14" s="1">
        <v>45681.741030092591</v>
      </c>
      <c r="F14">
        <v>3</v>
      </c>
      <c r="G14" t="s">
        <v>20</v>
      </c>
      <c r="H14" t="s">
        <v>21</v>
      </c>
      <c r="J14">
        <v>6</v>
      </c>
      <c r="K14" t="s">
        <v>22</v>
      </c>
      <c r="M14">
        <v>8.25</v>
      </c>
      <c r="N14">
        <v>50.664000000000001</v>
      </c>
    </row>
    <row r="15" spans="1:15" x14ac:dyDescent="0.25">
      <c r="A15" t="s">
        <v>15</v>
      </c>
      <c r="B15" t="s">
        <v>16</v>
      </c>
      <c r="C15">
        <v>1</v>
      </c>
      <c r="D15" t="s">
        <v>17</v>
      </c>
      <c r="E15" s="1">
        <v>45681.741030092591</v>
      </c>
      <c r="F15">
        <v>3</v>
      </c>
      <c r="G15" t="s">
        <v>20</v>
      </c>
      <c r="H15" t="s">
        <v>21</v>
      </c>
      <c r="J15">
        <v>6</v>
      </c>
      <c r="K15" t="s">
        <v>22</v>
      </c>
      <c r="M15">
        <v>1.75</v>
      </c>
      <c r="N15">
        <v>50.295000000000002</v>
      </c>
    </row>
    <row r="16" spans="1:15" x14ac:dyDescent="0.25">
      <c r="A16" t="s">
        <v>15</v>
      </c>
      <c r="B16" t="s">
        <v>16</v>
      </c>
      <c r="C16">
        <v>1</v>
      </c>
      <c r="D16" t="s">
        <v>17</v>
      </c>
      <c r="E16" s="1">
        <v>45681.764618055553</v>
      </c>
      <c r="F16">
        <v>4</v>
      </c>
      <c r="G16" t="s">
        <v>20</v>
      </c>
      <c r="H16" t="s">
        <v>21</v>
      </c>
      <c r="J16">
        <v>6</v>
      </c>
      <c r="K16" t="s">
        <v>22</v>
      </c>
      <c r="M16">
        <v>7.6</v>
      </c>
      <c r="N16">
        <v>49.572000000000003</v>
      </c>
    </row>
    <row r="17" spans="1:15" x14ac:dyDescent="0.25">
      <c r="A17" t="s">
        <v>15</v>
      </c>
      <c r="B17" t="s">
        <v>16</v>
      </c>
      <c r="C17">
        <v>1</v>
      </c>
      <c r="D17" t="s">
        <v>17</v>
      </c>
      <c r="E17" s="1">
        <v>45681.764618055553</v>
      </c>
      <c r="F17">
        <v>4</v>
      </c>
      <c r="G17" t="s">
        <v>20</v>
      </c>
      <c r="H17" t="s">
        <v>21</v>
      </c>
      <c r="J17">
        <v>6</v>
      </c>
      <c r="K17" t="s">
        <v>22</v>
      </c>
      <c r="M17">
        <v>7.27</v>
      </c>
      <c r="N17">
        <v>51.036999999999999</v>
      </c>
    </row>
    <row r="18" spans="1:15" x14ac:dyDescent="0.25">
      <c r="A18" t="s">
        <v>15</v>
      </c>
      <c r="B18" t="s">
        <v>16</v>
      </c>
      <c r="C18">
        <v>1</v>
      </c>
      <c r="D18" t="s">
        <v>17</v>
      </c>
      <c r="E18" s="1">
        <v>45681.764618055553</v>
      </c>
      <c r="F18">
        <v>4</v>
      </c>
      <c r="G18" t="s">
        <v>20</v>
      </c>
      <c r="H18" t="s">
        <v>21</v>
      </c>
      <c r="J18">
        <v>6</v>
      </c>
      <c r="K18" t="s">
        <v>22</v>
      </c>
      <c r="M18">
        <v>2.92</v>
      </c>
      <c r="N18">
        <v>50.244999999999997</v>
      </c>
    </row>
    <row r="19" spans="1:15" x14ac:dyDescent="0.25">
      <c r="A19" t="s">
        <v>15</v>
      </c>
      <c r="B19" t="s">
        <v>16</v>
      </c>
      <c r="C19">
        <v>1</v>
      </c>
      <c r="D19" t="s">
        <v>17</v>
      </c>
      <c r="E19" s="1">
        <v>45681.764618055553</v>
      </c>
      <c r="F19">
        <v>4</v>
      </c>
      <c r="G19" t="s">
        <v>20</v>
      </c>
      <c r="H19" t="s">
        <v>21</v>
      </c>
      <c r="J19">
        <v>6</v>
      </c>
      <c r="K19" t="s">
        <v>22</v>
      </c>
      <c r="M19">
        <v>1.78</v>
      </c>
      <c r="N19">
        <v>50.031999999999996</v>
      </c>
    </row>
    <row r="20" spans="1:15" x14ac:dyDescent="0.25">
      <c r="A20" t="s">
        <v>15</v>
      </c>
      <c r="B20" t="s">
        <v>16</v>
      </c>
      <c r="C20">
        <v>1</v>
      </c>
      <c r="D20" t="s">
        <v>17</v>
      </c>
      <c r="E20" s="1">
        <v>45681.764618055553</v>
      </c>
      <c r="F20">
        <v>4</v>
      </c>
      <c r="G20" t="s">
        <v>20</v>
      </c>
      <c r="H20" t="s">
        <v>21</v>
      </c>
      <c r="J20">
        <v>6</v>
      </c>
      <c r="K20" t="s">
        <v>22</v>
      </c>
      <c r="M20">
        <v>8.27</v>
      </c>
      <c r="N20">
        <v>49.997999999999998</v>
      </c>
    </row>
    <row r="21" spans="1:15" x14ac:dyDescent="0.25">
      <c r="A21" t="s">
        <v>15</v>
      </c>
      <c r="B21" t="s">
        <v>16</v>
      </c>
      <c r="C21">
        <v>1</v>
      </c>
      <c r="D21" t="s">
        <v>17</v>
      </c>
      <c r="E21" s="1">
        <v>45681.764618055553</v>
      </c>
      <c r="F21">
        <v>4</v>
      </c>
      <c r="G21" t="s">
        <v>20</v>
      </c>
      <c r="H21" t="s">
        <v>21</v>
      </c>
      <c r="J21">
        <v>6</v>
      </c>
      <c r="K21" t="s">
        <v>22</v>
      </c>
      <c r="M21">
        <v>1.87</v>
      </c>
      <c r="N21">
        <v>49.963999999999999</v>
      </c>
    </row>
    <row r="22" spans="1:15" x14ac:dyDescent="0.25">
      <c r="A22" t="s">
        <v>15</v>
      </c>
      <c r="B22" t="s">
        <v>16</v>
      </c>
      <c r="C22">
        <v>1</v>
      </c>
      <c r="D22" t="s">
        <v>17</v>
      </c>
      <c r="E22" s="1">
        <v>45681.788113425922</v>
      </c>
      <c r="F22">
        <v>5</v>
      </c>
      <c r="G22" t="s">
        <v>21</v>
      </c>
      <c r="H22" t="s">
        <v>23</v>
      </c>
      <c r="I22">
        <v>0.1115</v>
      </c>
      <c r="J22">
        <v>3</v>
      </c>
      <c r="K22" t="s">
        <v>24</v>
      </c>
      <c r="L22">
        <v>8.2000000000000003E-2</v>
      </c>
      <c r="M22">
        <v>5.29</v>
      </c>
      <c r="N22">
        <v>50.6</v>
      </c>
      <c r="O22" t="s">
        <v>25</v>
      </c>
    </row>
    <row r="23" spans="1:15" x14ac:dyDescent="0.25">
      <c r="A23" t="s">
        <v>15</v>
      </c>
      <c r="B23" t="s">
        <v>16</v>
      </c>
      <c r="C23">
        <v>1</v>
      </c>
      <c r="D23" t="s">
        <v>17</v>
      </c>
      <c r="E23" s="1">
        <v>45681.788113425922</v>
      </c>
      <c r="F23">
        <v>5</v>
      </c>
      <c r="G23" t="s">
        <v>21</v>
      </c>
      <c r="H23" t="s">
        <v>23</v>
      </c>
      <c r="I23">
        <v>0.1115</v>
      </c>
      <c r="J23">
        <v>3</v>
      </c>
      <c r="K23" t="s">
        <v>24</v>
      </c>
      <c r="L23">
        <v>0.1396</v>
      </c>
      <c r="M23">
        <v>6.16</v>
      </c>
      <c r="N23">
        <v>50.573999999999998</v>
      </c>
      <c r="O23" t="s">
        <v>25</v>
      </c>
    </row>
    <row r="24" spans="1:15" x14ac:dyDescent="0.25">
      <c r="A24" t="s">
        <v>15</v>
      </c>
      <c r="B24" t="s">
        <v>16</v>
      </c>
      <c r="C24">
        <v>1</v>
      </c>
      <c r="D24" t="s">
        <v>17</v>
      </c>
      <c r="E24" s="1">
        <v>45681.788113425922</v>
      </c>
      <c r="F24">
        <v>5</v>
      </c>
      <c r="G24" t="s">
        <v>21</v>
      </c>
      <c r="H24" t="s">
        <v>23</v>
      </c>
      <c r="I24">
        <v>0.1115</v>
      </c>
      <c r="J24">
        <v>3</v>
      </c>
      <c r="K24" t="s">
        <v>24</v>
      </c>
      <c r="L24">
        <v>0.113</v>
      </c>
      <c r="M24">
        <v>5.76</v>
      </c>
      <c r="N24">
        <v>50.651000000000003</v>
      </c>
      <c r="O24" t="s">
        <v>25</v>
      </c>
    </row>
    <row r="25" spans="1:15" x14ac:dyDescent="0.25">
      <c r="A25" t="s">
        <v>15</v>
      </c>
      <c r="B25" t="s">
        <v>16</v>
      </c>
      <c r="C25">
        <v>1</v>
      </c>
      <c r="D25" t="s">
        <v>17</v>
      </c>
      <c r="E25" s="1">
        <v>45681.800949074073</v>
      </c>
      <c r="F25">
        <v>6</v>
      </c>
      <c r="G25" t="s">
        <v>26</v>
      </c>
      <c r="H25" t="s">
        <v>23</v>
      </c>
      <c r="I25">
        <v>0.27400000000000002</v>
      </c>
      <c r="J25">
        <v>2</v>
      </c>
      <c r="K25">
        <v>1</v>
      </c>
      <c r="L25">
        <v>0.29499999999999998</v>
      </c>
      <c r="M25">
        <v>8.5</v>
      </c>
      <c r="N25">
        <v>50.52</v>
      </c>
      <c r="O25" t="s">
        <v>25</v>
      </c>
    </row>
    <row r="26" spans="1:15" x14ac:dyDescent="0.25">
      <c r="A26" t="s">
        <v>15</v>
      </c>
      <c r="B26" t="s">
        <v>16</v>
      </c>
      <c r="C26">
        <v>1</v>
      </c>
      <c r="D26" t="s">
        <v>17</v>
      </c>
      <c r="E26" s="1">
        <v>45681.800949074073</v>
      </c>
      <c r="F26">
        <v>6</v>
      </c>
      <c r="G26" t="s">
        <v>26</v>
      </c>
      <c r="H26" t="s">
        <v>23</v>
      </c>
      <c r="I26">
        <v>0.27400000000000002</v>
      </c>
      <c r="J26">
        <v>2</v>
      </c>
      <c r="K26">
        <v>1</v>
      </c>
      <c r="L26">
        <v>0.25290000000000001</v>
      </c>
      <c r="M26">
        <v>7.86</v>
      </c>
      <c r="N26">
        <v>50.57</v>
      </c>
      <c r="O26" t="s">
        <v>25</v>
      </c>
    </row>
    <row r="27" spans="1:15" x14ac:dyDescent="0.25">
      <c r="A27" t="s">
        <v>15</v>
      </c>
      <c r="B27" t="s">
        <v>16</v>
      </c>
      <c r="C27">
        <v>1</v>
      </c>
      <c r="D27" t="s">
        <v>17</v>
      </c>
      <c r="E27" s="1">
        <v>45681.810231481482</v>
      </c>
      <c r="F27">
        <v>7</v>
      </c>
      <c r="G27" t="s">
        <v>27</v>
      </c>
      <c r="H27" t="s">
        <v>23</v>
      </c>
      <c r="I27">
        <v>17.514399999999998</v>
      </c>
      <c r="J27">
        <v>2</v>
      </c>
      <c r="K27" t="s">
        <v>28</v>
      </c>
      <c r="L27">
        <v>17.0337</v>
      </c>
      <c r="M27">
        <v>260.83</v>
      </c>
      <c r="N27">
        <v>50.47</v>
      </c>
      <c r="O27" t="s">
        <v>25</v>
      </c>
    </row>
    <row r="28" spans="1:15" x14ac:dyDescent="0.25">
      <c r="A28" t="s">
        <v>15</v>
      </c>
      <c r="B28" t="s">
        <v>16</v>
      </c>
      <c r="C28">
        <v>1</v>
      </c>
      <c r="D28" t="s">
        <v>17</v>
      </c>
      <c r="E28" s="1">
        <v>45681.810231481482</v>
      </c>
      <c r="F28">
        <v>7</v>
      </c>
      <c r="G28" t="s">
        <v>27</v>
      </c>
      <c r="H28" t="s">
        <v>23</v>
      </c>
      <c r="I28">
        <v>17.514399999999998</v>
      </c>
      <c r="J28">
        <v>2</v>
      </c>
      <c r="K28" t="s">
        <v>28</v>
      </c>
      <c r="L28">
        <v>17.995000000000001</v>
      </c>
      <c r="M28">
        <v>275.32</v>
      </c>
      <c r="N28">
        <v>50.79</v>
      </c>
      <c r="O28" t="s">
        <v>25</v>
      </c>
    </row>
    <row r="29" spans="1:15" x14ac:dyDescent="0.25">
      <c r="A29" t="s">
        <v>15</v>
      </c>
      <c r="B29" t="s">
        <v>16</v>
      </c>
      <c r="C29">
        <v>1</v>
      </c>
      <c r="D29" t="s">
        <v>17</v>
      </c>
      <c r="E29" s="1">
        <v>45681.819745370369</v>
      </c>
      <c r="F29">
        <v>8</v>
      </c>
      <c r="G29" t="s">
        <v>29</v>
      </c>
      <c r="H29" t="s">
        <v>23</v>
      </c>
      <c r="I29">
        <v>5.9499999999999997E-2</v>
      </c>
      <c r="J29">
        <v>2</v>
      </c>
      <c r="K29" t="s">
        <v>24</v>
      </c>
      <c r="L29">
        <v>5.5300000000000002E-2</v>
      </c>
      <c r="M29">
        <v>4.8899999999999997</v>
      </c>
      <c r="N29">
        <v>50.680999999999997</v>
      </c>
      <c r="O29" t="s">
        <v>25</v>
      </c>
    </row>
    <row r="30" spans="1:15" x14ac:dyDescent="0.25">
      <c r="A30" t="s">
        <v>15</v>
      </c>
      <c r="B30" t="s">
        <v>16</v>
      </c>
      <c r="C30">
        <v>1</v>
      </c>
      <c r="D30" t="s">
        <v>17</v>
      </c>
      <c r="E30" s="1">
        <v>45681.819745370369</v>
      </c>
      <c r="F30">
        <v>8</v>
      </c>
      <c r="G30" t="s">
        <v>29</v>
      </c>
      <c r="H30" t="s">
        <v>23</v>
      </c>
      <c r="I30">
        <v>5.9499999999999997E-2</v>
      </c>
      <c r="J30">
        <v>2</v>
      </c>
      <c r="K30" t="s">
        <v>24</v>
      </c>
      <c r="L30">
        <v>6.3700000000000007E-2</v>
      </c>
      <c r="M30">
        <v>5.01</v>
      </c>
      <c r="N30">
        <v>50.762</v>
      </c>
      <c r="O30" t="s">
        <v>25</v>
      </c>
    </row>
    <row r="31" spans="1:15" x14ac:dyDescent="0.25">
      <c r="A31" t="s">
        <v>15</v>
      </c>
      <c r="B31" t="s">
        <v>16</v>
      </c>
      <c r="C31">
        <v>1</v>
      </c>
      <c r="D31" t="s">
        <v>17</v>
      </c>
      <c r="E31" s="1">
        <v>45681.829189814816</v>
      </c>
      <c r="F31">
        <v>9</v>
      </c>
      <c r="G31" t="s">
        <v>30</v>
      </c>
      <c r="H31" t="s">
        <v>23</v>
      </c>
      <c r="I31">
        <v>9.7903000000000002</v>
      </c>
      <c r="J31">
        <v>2</v>
      </c>
      <c r="K31" t="s">
        <v>31</v>
      </c>
      <c r="L31">
        <v>9.7990999999999993</v>
      </c>
      <c r="M31">
        <v>34.630000000000003</v>
      </c>
      <c r="N31">
        <v>50.66</v>
      </c>
      <c r="O31" t="s">
        <v>32</v>
      </c>
    </row>
    <row r="32" spans="1:15" x14ac:dyDescent="0.25">
      <c r="A32" t="s">
        <v>15</v>
      </c>
      <c r="B32" t="s">
        <v>16</v>
      </c>
      <c r="C32">
        <v>1</v>
      </c>
      <c r="D32" t="s">
        <v>17</v>
      </c>
      <c r="E32" s="1">
        <v>45681.829189814816</v>
      </c>
      <c r="F32">
        <v>9</v>
      </c>
      <c r="G32" t="s">
        <v>30</v>
      </c>
      <c r="H32" t="s">
        <v>23</v>
      </c>
      <c r="I32">
        <v>9.7903000000000002</v>
      </c>
      <c r="J32">
        <v>2</v>
      </c>
      <c r="K32" t="s">
        <v>31</v>
      </c>
      <c r="L32">
        <v>9.7814999999999994</v>
      </c>
      <c r="M32">
        <v>34.58</v>
      </c>
      <c r="N32">
        <v>50.808999999999997</v>
      </c>
      <c r="O32" t="s">
        <v>32</v>
      </c>
    </row>
    <row r="33" spans="1:15" x14ac:dyDescent="0.25">
      <c r="A33" t="s">
        <v>15</v>
      </c>
      <c r="B33" t="s">
        <v>16</v>
      </c>
      <c r="C33">
        <v>1</v>
      </c>
      <c r="D33" t="s">
        <v>17</v>
      </c>
      <c r="E33" s="1">
        <v>45681.838425925926</v>
      </c>
      <c r="F33">
        <v>10</v>
      </c>
      <c r="G33" t="s">
        <v>33</v>
      </c>
      <c r="H33" t="s">
        <v>23</v>
      </c>
      <c r="I33">
        <v>0</v>
      </c>
      <c r="J33">
        <v>2</v>
      </c>
      <c r="K33" t="s">
        <v>24</v>
      </c>
      <c r="L33">
        <v>0</v>
      </c>
      <c r="M33">
        <v>3.86</v>
      </c>
      <c r="N33">
        <v>50.473999999999997</v>
      </c>
      <c r="O33" t="s">
        <v>25</v>
      </c>
    </row>
    <row r="34" spans="1:15" x14ac:dyDescent="0.25">
      <c r="A34" t="s">
        <v>15</v>
      </c>
      <c r="B34" t="s">
        <v>16</v>
      </c>
      <c r="C34">
        <v>1</v>
      </c>
      <c r="D34" t="s">
        <v>17</v>
      </c>
      <c r="E34" s="1">
        <v>45681.838425925926</v>
      </c>
      <c r="F34">
        <v>10</v>
      </c>
      <c r="G34" t="s">
        <v>33</v>
      </c>
      <c r="H34" t="s">
        <v>23</v>
      </c>
      <c r="I34">
        <v>0</v>
      </c>
      <c r="J34">
        <v>2</v>
      </c>
      <c r="K34" t="s">
        <v>24</v>
      </c>
      <c r="L34">
        <v>0</v>
      </c>
      <c r="M34">
        <v>3.94</v>
      </c>
      <c r="N34">
        <v>50.554000000000002</v>
      </c>
      <c r="O34" t="s">
        <v>25</v>
      </c>
    </row>
    <row r="35" spans="1:15" x14ac:dyDescent="0.25">
      <c r="A35" t="s">
        <v>15</v>
      </c>
      <c r="B35" t="s">
        <v>16</v>
      </c>
      <c r="C35">
        <v>1</v>
      </c>
      <c r="D35" t="s">
        <v>17</v>
      </c>
      <c r="E35" s="1">
        <v>45681.84778935185</v>
      </c>
      <c r="F35">
        <v>11</v>
      </c>
      <c r="G35" t="s">
        <v>34</v>
      </c>
      <c r="H35" t="s">
        <v>23</v>
      </c>
      <c r="I35">
        <v>54.846400000000003</v>
      </c>
      <c r="J35">
        <v>2</v>
      </c>
      <c r="K35">
        <v>2</v>
      </c>
      <c r="L35">
        <v>53.976599999999998</v>
      </c>
      <c r="M35">
        <v>167.82</v>
      </c>
      <c r="N35">
        <v>50.47</v>
      </c>
      <c r="O35" t="s">
        <v>32</v>
      </c>
    </row>
    <row r="36" spans="1:15" x14ac:dyDescent="0.25">
      <c r="A36" t="s">
        <v>15</v>
      </c>
      <c r="B36" t="s">
        <v>16</v>
      </c>
      <c r="C36">
        <v>1</v>
      </c>
      <c r="D36" t="s">
        <v>17</v>
      </c>
      <c r="E36" s="1">
        <v>45681.84778935185</v>
      </c>
      <c r="F36">
        <v>11</v>
      </c>
      <c r="G36" t="s">
        <v>34</v>
      </c>
      <c r="H36" t="s">
        <v>23</v>
      </c>
      <c r="I36">
        <v>54.846400000000003</v>
      </c>
      <c r="J36">
        <v>2</v>
      </c>
      <c r="K36">
        <v>2</v>
      </c>
      <c r="L36">
        <v>55.716200000000001</v>
      </c>
      <c r="M36">
        <v>173.06</v>
      </c>
      <c r="N36">
        <v>50.784999999999997</v>
      </c>
      <c r="O36" t="s">
        <v>32</v>
      </c>
    </row>
    <row r="37" spans="1:15" x14ac:dyDescent="0.25">
      <c r="A37" t="s">
        <v>15</v>
      </c>
      <c r="B37" t="s">
        <v>16</v>
      </c>
      <c r="C37">
        <v>1</v>
      </c>
      <c r="D37" t="s">
        <v>17</v>
      </c>
      <c r="E37" s="1">
        <v>45681.856898148151</v>
      </c>
      <c r="F37">
        <v>12</v>
      </c>
      <c r="G37" t="s">
        <v>35</v>
      </c>
      <c r="H37" t="s">
        <v>23</v>
      </c>
      <c r="I37">
        <v>9.9994999999999994</v>
      </c>
      <c r="J37">
        <v>2</v>
      </c>
      <c r="K37" t="s">
        <v>31</v>
      </c>
      <c r="L37">
        <v>9.7553999999999998</v>
      </c>
      <c r="M37">
        <v>151.11000000000001</v>
      </c>
      <c r="N37">
        <v>50.512999999999998</v>
      </c>
      <c r="O37" t="s">
        <v>25</v>
      </c>
    </row>
    <row r="38" spans="1:15" x14ac:dyDescent="0.25">
      <c r="A38" t="s">
        <v>15</v>
      </c>
      <c r="B38" t="s">
        <v>16</v>
      </c>
      <c r="C38">
        <v>1</v>
      </c>
      <c r="D38" t="s">
        <v>17</v>
      </c>
      <c r="E38" s="1">
        <v>45681.856898148151</v>
      </c>
      <c r="F38">
        <v>12</v>
      </c>
      <c r="G38" t="s">
        <v>35</v>
      </c>
      <c r="H38" t="s">
        <v>23</v>
      </c>
      <c r="I38">
        <v>9.9994999999999994</v>
      </c>
      <c r="J38">
        <v>2</v>
      </c>
      <c r="K38" t="s">
        <v>31</v>
      </c>
      <c r="L38">
        <v>10.243499999999999</v>
      </c>
      <c r="M38">
        <v>158.47</v>
      </c>
      <c r="N38">
        <v>50.65</v>
      </c>
      <c r="O38" t="s">
        <v>25</v>
      </c>
    </row>
    <row r="39" spans="1:15" x14ac:dyDescent="0.25">
      <c r="A39" t="s">
        <v>15</v>
      </c>
      <c r="B39" t="s">
        <v>16</v>
      </c>
      <c r="C39">
        <v>1</v>
      </c>
      <c r="D39" t="s">
        <v>17</v>
      </c>
      <c r="E39" s="1">
        <v>45681.866226851853</v>
      </c>
      <c r="F39">
        <v>13</v>
      </c>
      <c r="G39" t="s">
        <v>36</v>
      </c>
      <c r="H39" t="s">
        <v>23</v>
      </c>
      <c r="I39">
        <v>5.1200000000000002E-2</v>
      </c>
      <c r="J39">
        <v>2</v>
      </c>
      <c r="K39" t="s">
        <v>24</v>
      </c>
      <c r="L39">
        <v>4.8000000000000001E-2</v>
      </c>
      <c r="M39">
        <v>4.7699999999999996</v>
      </c>
      <c r="N39">
        <v>50.652000000000001</v>
      </c>
      <c r="O39" t="s">
        <v>25</v>
      </c>
    </row>
    <row r="40" spans="1:15" x14ac:dyDescent="0.25">
      <c r="A40" t="s">
        <v>15</v>
      </c>
      <c r="B40" t="s">
        <v>16</v>
      </c>
      <c r="C40">
        <v>1</v>
      </c>
      <c r="D40" t="s">
        <v>17</v>
      </c>
      <c r="E40" s="1">
        <v>45681.866226851853</v>
      </c>
      <c r="F40">
        <v>13</v>
      </c>
      <c r="G40" t="s">
        <v>36</v>
      </c>
      <c r="H40" t="s">
        <v>23</v>
      </c>
      <c r="I40">
        <v>5.1200000000000002E-2</v>
      </c>
      <c r="J40">
        <v>2</v>
      </c>
      <c r="K40" t="s">
        <v>24</v>
      </c>
      <c r="L40">
        <v>5.45E-2</v>
      </c>
      <c r="M40">
        <v>4.87</v>
      </c>
      <c r="N40">
        <v>50.85</v>
      </c>
      <c r="O40" t="s">
        <v>25</v>
      </c>
    </row>
    <row r="41" spans="1:15" x14ac:dyDescent="0.25">
      <c r="A41" t="s">
        <v>15</v>
      </c>
      <c r="B41" t="s">
        <v>16</v>
      </c>
      <c r="C41">
        <v>1</v>
      </c>
      <c r="D41" t="s">
        <v>17</v>
      </c>
      <c r="E41" s="1">
        <v>45681.875555555554</v>
      </c>
      <c r="F41">
        <v>14</v>
      </c>
      <c r="G41" t="s">
        <v>18</v>
      </c>
      <c r="H41" t="s">
        <v>18</v>
      </c>
      <c r="J41">
        <v>4</v>
      </c>
      <c r="K41" t="s">
        <v>19</v>
      </c>
      <c r="M41">
        <v>-1.02</v>
      </c>
      <c r="N41">
        <v>50.100999999999999</v>
      </c>
    </row>
    <row r="42" spans="1:15" x14ac:dyDescent="0.25">
      <c r="A42" t="s">
        <v>15</v>
      </c>
      <c r="B42" t="s">
        <v>16</v>
      </c>
      <c r="C42">
        <v>1</v>
      </c>
      <c r="D42" t="s">
        <v>17</v>
      </c>
      <c r="E42" s="1">
        <v>45681.875555555554</v>
      </c>
      <c r="F42">
        <v>14</v>
      </c>
      <c r="G42" t="s">
        <v>18</v>
      </c>
      <c r="H42" t="s">
        <v>18</v>
      </c>
      <c r="J42">
        <v>4</v>
      </c>
      <c r="K42" t="s">
        <v>19</v>
      </c>
      <c r="M42">
        <v>6.32</v>
      </c>
      <c r="N42">
        <v>50.186999999999998</v>
      </c>
    </row>
    <row r="43" spans="1:15" x14ac:dyDescent="0.25">
      <c r="A43" t="s">
        <v>15</v>
      </c>
      <c r="B43" t="s">
        <v>16</v>
      </c>
      <c r="C43">
        <v>1</v>
      </c>
      <c r="D43" t="s">
        <v>17</v>
      </c>
      <c r="E43" s="1">
        <v>45681.875555555554</v>
      </c>
      <c r="F43">
        <v>14</v>
      </c>
      <c r="G43" t="s">
        <v>18</v>
      </c>
      <c r="H43" t="s">
        <v>18</v>
      </c>
      <c r="J43">
        <v>4</v>
      </c>
      <c r="K43" t="s">
        <v>19</v>
      </c>
      <c r="M43">
        <v>3.49</v>
      </c>
      <c r="N43">
        <v>50.042000000000002</v>
      </c>
    </row>
    <row r="44" spans="1:15" x14ac:dyDescent="0.25">
      <c r="A44" t="s">
        <v>15</v>
      </c>
      <c r="B44" t="s">
        <v>16</v>
      </c>
      <c r="C44">
        <v>1</v>
      </c>
      <c r="D44" t="s">
        <v>17</v>
      </c>
      <c r="E44" s="1">
        <v>45681.875555555554</v>
      </c>
      <c r="F44">
        <v>14</v>
      </c>
      <c r="G44" t="s">
        <v>18</v>
      </c>
      <c r="H44" t="s">
        <v>18</v>
      </c>
      <c r="J44">
        <v>4</v>
      </c>
      <c r="K44" t="s">
        <v>19</v>
      </c>
      <c r="M44">
        <v>2.2599999999999998</v>
      </c>
      <c r="N44">
        <v>50.845999999999997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1856-726E-47F0-ACFC-610164B79985}">
  <dimension ref="A1:E18"/>
  <sheetViews>
    <sheetView workbookViewId="0">
      <selection activeCell="B18" sqref="B18"/>
    </sheetView>
  </sheetViews>
  <sheetFormatPr defaultColWidth="8.85546875" defaultRowHeight="15" x14ac:dyDescent="0.25"/>
  <cols>
    <col min="1" max="1" width="33.42578125" customWidth="1"/>
    <col min="2" max="2" width="17.28515625" customWidth="1"/>
    <col min="3" max="3" width="20" bestFit="1" customWidth="1"/>
    <col min="4" max="4" width="10.85546875" customWidth="1"/>
  </cols>
  <sheetData>
    <row r="1" spans="1:5" x14ac:dyDescent="0.25">
      <c r="A1" t="s">
        <v>6</v>
      </c>
      <c r="B1" t="s">
        <v>48</v>
      </c>
      <c r="C1" t="s">
        <v>47</v>
      </c>
      <c r="D1" t="s">
        <v>46</v>
      </c>
      <c r="E1" t="s">
        <v>45</v>
      </c>
    </row>
    <row r="2" spans="1:5" x14ac:dyDescent="0.25">
      <c r="A2" t="s">
        <v>44</v>
      </c>
      <c r="B2">
        <v>0</v>
      </c>
      <c r="C2">
        <v>4.46</v>
      </c>
    </row>
    <row r="3" spans="1:5" x14ac:dyDescent="0.25">
      <c r="A3" t="s">
        <v>44</v>
      </c>
      <c r="B3">
        <v>0</v>
      </c>
      <c r="C3">
        <v>4.67</v>
      </c>
      <c r="D3" s="3">
        <f>AVERAGE(C2:C3)</f>
        <v>4.5649999999999995</v>
      </c>
      <c r="E3" s="2">
        <f>(ABS(C2-C3)/D3)*100</f>
        <v>4.6002190580503832</v>
      </c>
    </row>
    <row r="4" spans="1:5" x14ac:dyDescent="0.25">
      <c r="A4" t="s">
        <v>43</v>
      </c>
      <c r="B4">
        <v>0.4</v>
      </c>
      <c r="C4">
        <v>10.44</v>
      </c>
    </row>
    <row r="5" spans="1:5" x14ac:dyDescent="0.25">
      <c r="A5" t="s">
        <v>43</v>
      </c>
      <c r="B5">
        <v>0.4</v>
      </c>
      <c r="C5">
        <v>10.41</v>
      </c>
      <c r="D5" s="3">
        <f>AVERAGE(C4:C5)</f>
        <v>10.425000000000001</v>
      </c>
      <c r="E5" s="2">
        <f>(ABS(C4-C5)/D5)*100</f>
        <v>0.2877697841726557</v>
      </c>
    </row>
    <row r="6" spans="1:5" x14ac:dyDescent="0.25">
      <c r="A6" t="s">
        <v>42</v>
      </c>
      <c r="B6">
        <v>1</v>
      </c>
      <c r="C6">
        <v>20.309999999999999</v>
      </c>
    </row>
    <row r="7" spans="1:5" x14ac:dyDescent="0.25">
      <c r="A7" t="s">
        <v>42</v>
      </c>
      <c r="B7">
        <v>1</v>
      </c>
      <c r="C7">
        <v>19.420000000000002</v>
      </c>
      <c r="D7" s="3">
        <f>AVERAGE(C6:C7)</f>
        <v>19.865000000000002</v>
      </c>
      <c r="E7" s="2">
        <f>(ABS(C6-C7)/D7)*100</f>
        <v>4.4802416310092976</v>
      </c>
    </row>
    <row r="8" spans="1:5" x14ac:dyDescent="0.25">
      <c r="A8" t="s">
        <v>41</v>
      </c>
      <c r="B8">
        <v>2</v>
      </c>
      <c r="C8">
        <v>35.1</v>
      </c>
    </row>
    <row r="9" spans="1:5" x14ac:dyDescent="0.25">
      <c r="A9" t="s">
        <v>41</v>
      </c>
      <c r="B9">
        <v>2</v>
      </c>
      <c r="C9">
        <v>34.74</v>
      </c>
      <c r="D9" s="3">
        <f>AVERAGE(C8:C9)</f>
        <v>34.92</v>
      </c>
      <c r="E9" s="2">
        <f>(ABS(C8-C9)/D9)*100</f>
        <v>1.0309278350515447</v>
      </c>
    </row>
    <row r="10" spans="1:5" x14ac:dyDescent="0.25">
      <c r="A10" t="s">
        <v>40</v>
      </c>
      <c r="B10">
        <v>5</v>
      </c>
      <c r="C10">
        <v>80.88</v>
      </c>
    </row>
    <row r="11" spans="1:5" x14ac:dyDescent="0.25">
      <c r="A11" t="s">
        <v>40</v>
      </c>
      <c r="B11">
        <v>5</v>
      </c>
      <c r="C11">
        <v>81.77</v>
      </c>
      <c r="D11" s="3">
        <f>AVERAGE(C10:C11)</f>
        <v>81.324999999999989</v>
      </c>
      <c r="E11" s="2">
        <f>(ABS(C10-C11)/D11)*100</f>
        <v>1.0943744236089772</v>
      </c>
    </row>
    <row r="12" spans="1:5" x14ac:dyDescent="0.25">
      <c r="A12" t="s">
        <v>39</v>
      </c>
      <c r="B12">
        <v>10</v>
      </c>
      <c r="C12">
        <v>159.12</v>
      </c>
    </row>
    <row r="13" spans="1:5" x14ac:dyDescent="0.25">
      <c r="A13" t="s">
        <v>39</v>
      </c>
      <c r="B13">
        <v>10</v>
      </c>
      <c r="C13">
        <v>162.29</v>
      </c>
      <c r="D13" s="3">
        <f>AVERAGE(C12:C13)</f>
        <v>160.70499999999998</v>
      </c>
      <c r="E13" s="2">
        <f>(ABS(C12-C13)/D13)*100</f>
        <v>1.9725584144861628</v>
      </c>
    </row>
    <row r="14" spans="1:5" x14ac:dyDescent="0.25">
      <c r="A14" t="s">
        <v>38</v>
      </c>
      <c r="B14">
        <v>20</v>
      </c>
      <c r="C14">
        <v>298.64999999999998</v>
      </c>
    </row>
    <row r="15" spans="1:5" x14ac:dyDescent="0.25">
      <c r="A15" t="s">
        <v>38</v>
      </c>
      <c r="B15">
        <v>20</v>
      </c>
      <c r="C15">
        <v>310.31</v>
      </c>
      <c r="D15" s="3">
        <f>AVERAGE(C14:C15)</f>
        <v>304.48</v>
      </c>
      <c r="E15" s="2">
        <f>(ABS(C14-C15)/D15)*100</f>
        <v>3.8294797687861348</v>
      </c>
    </row>
    <row r="18" spans="1:1" x14ac:dyDescent="0.25">
      <c r="A18" t="s">
        <v>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FC43-CF49-4133-ADB0-9CB054695C40}">
  <dimension ref="A1:L18"/>
  <sheetViews>
    <sheetView workbookViewId="0">
      <selection activeCell="H27" sqref="H27"/>
    </sheetView>
  </sheetViews>
  <sheetFormatPr defaultColWidth="8.85546875" defaultRowHeight="15" x14ac:dyDescent="0.25"/>
  <cols>
    <col min="1" max="1" width="9.85546875" style="4" bestFit="1" customWidth="1"/>
    <col min="2" max="2" width="8.85546875" style="4"/>
    <col min="3" max="3" width="12" style="4" bestFit="1" customWidth="1"/>
    <col min="4" max="6" width="8.85546875" style="4"/>
    <col min="7" max="7" width="15.85546875" style="4" bestFit="1" customWidth="1"/>
    <col min="8" max="16384" width="8.85546875" style="4"/>
  </cols>
  <sheetData>
    <row r="1" spans="1:12" x14ac:dyDescent="0.25">
      <c r="A1" s="4" t="s">
        <v>6</v>
      </c>
      <c r="B1" s="6" t="s">
        <v>56</v>
      </c>
      <c r="C1" s="2" t="s">
        <v>55</v>
      </c>
      <c r="D1" s="2" t="s">
        <v>54</v>
      </c>
      <c r="E1" s="4" t="s">
        <v>45</v>
      </c>
    </row>
    <row r="2" spans="1:12" x14ac:dyDescent="0.25">
      <c r="A2" s="4" t="s">
        <v>53</v>
      </c>
      <c r="B2">
        <v>0.29499999999999998</v>
      </c>
    </row>
    <row r="3" spans="1:12" x14ac:dyDescent="0.25">
      <c r="A3" s="4" t="s">
        <v>53</v>
      </c>
      <c r="B3">
        <v>0.25290000000000001</v>
      </c>
      <c r="C3" s="2">
        <f>AVERAGE(B2:B3)</f>
        <v>0.27395000000000003</v>
      </c>
      <c r="D3" s="2">
        <f>C3/0.2*100</f>
        <v>136.97499999999999</v>
      </c>
      <c r="E3" s="2">
        <f>ABS(B2-B3)/C3*100</f>
        <v>15.367767840846858</v>
      </c>
      <c r="G3" s="4" t="s">
        <v>52</v>
      </c>
    </row>
    <row r="4" spans="1:12" x14ac:dyDescent="0.25">
      <c r="A4" s="4" t="s">
        <v>51</v>
      </c>
      <c r="B4">
        <v>17.0337</v>
      </c>
    </row>
    <row r="5" spans="1:12" ht="14.1" customHeight="1" x14ac:dyDescent="0.25">
      <c r="A5" s="4" t="s">
        <v>51</v>
      </c>
      <c r="B5">
        <v>17.995000000000001</v>
      </c>
      <c r="C5" s="2">
        <f>AVERAGE(B4:B5)</f>
        <v>17.51435</v>
      </c>
      <c r="D5" s="2">
        <f>C5/18*100</f>
        <v>97.301944444444445</v>
      </c>
      <c r="E5" s="2">
        <f>ABS(B4-B5)/C5*100</f>
        <v>5.4886421705630033</v>
      </c>
      <c r="G5" s="4" t="s">
        <v>50</v>
      </c>
    </row>
    <row r="6" spans="1:12" ht="14.1" customHeight="1" x14ac:dyDescent="0.25">
      <c r="A6" s="4" t="s">
        <v>49</v>
      </c>
      <c r="B6">
        <v>9.7990999999999993</v>
      </c>
    </row>
    <row r="7" spans="1:12" ht="14.1" customHeight="1" x14ac:dyDescent="0.25">
      <c r="A7" s="4" t="s">
        <v>49</v>
      </c>
      <c r="B7">
        <v>9.7814999999999994</v>
      </c>
      <c r="C7" s="2">
        <f>AVERAGE(B6:B7)</f>
        <v>9.7902999999999984</v>
      </c>
      <c r="D7" s="2">
        <f>C7/10*100</f>
        <v>97.902999999999992</v>
      </c>
      <c r="E7" s="2">
        <f>ABS(B6-B7)/C7*100</f>
        <v>0.17976977212138381</v>
      </c>
      <c r="L7"/>
    </row>
    <row r="8" spans="1:12" x14ac:dyDescent="0.25">
      <c r="A8" s="4" t="s">
        <v>35</v>
      </c>
      <c r="B8">
        <v>9.7553999999999998</v>
      </c>
      <c r="D8" s="2"/>
      <c r="L8"/>
    </row>
    <row r="9" spans="1:12" x14ac:dyDescent="0.25">
      <c r="A9" s="4" t="s">
        <v>35</v>
      </c>
      <c r="B9">
        <v>10.243499999999999</v>
      </c>
      <c r="C9" s="2">
        <f>AVERAGE(B8:B9)</f>
        <v>9.9994499999999995</v>
      </c>
      <c r="D9" s="2">
        <f>C9/10*100</f>
        <v>99.994500000000002</v>
      </c>
      <c r="E9" s="2">
        <f>ABS(B8-B9)/C9*100</f>
        <v>4.8812684697658311</v>
      </c>
      <c r="L9"/>
    </row>
    <row r="11" spans="1:12" x14ac:dyDescent="0.25">
      <c r="A11" s="4" t="s">
        <v>29</v>
      </c>
      <c r="B11">
        <v>5.5300000000000002E-2</v>
      </c>
    </row>
    <row r="12" spans="1:12" x14ac:dyDescent="0.25">
      <c r="A12" s="4" t="s">
        <v>29</v>
      </c>
      <c r="B12">
        <v>6.3700000000000007E-2</v>
      </c>
    </row>
    <row r="13" spans="1:12" x14ac:dyDescent="0.25">
      <c r="A13" s="4" t="s">
        <v>33</v>
      </c>
      <c r="B13">
        <v>0</v>
      </c>
    </row>
    <row r="14" spans="1:12" x14ac:dyDescent="0.25">
      <c r="A14" s="4" t="s">
        <v>33</v>
      </c>
      <c r="B14">
        <v>0</v>
      </c>
    </row>
    <row r="15" spans="1:12" x14ac:dyDescent="0.25">
      <c r="A15" s="4" t="s">
        <v>36</v>
      </c>
      <c r="B15">
        <v>4.8000000000000001E-2</v>
      </c>
    </row>
    <row r="16" spans="1:12" x14ac:dyDescent="0.25">
      <c r="A16" s="4" t="s">
        <v>36</v>
      </c>
      <c r="B16">
        <v>5.45E-2</v>
      </c>
    </row>
    <row r="18" spans="1:2" x14ac:dyDescent="0.25">
      <c r="A18" s="5" t="s">
        <v>46</v>
      </c>
      <c r="B18" s="5">
        <f>AVERAGE(B11:B16)</f>
        <v>3.6916666666666667E-2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AB78-5007-4A1F-8B0F-31B03F99B9CE}">
  <dimension ref="A1:F3"/>
  <sheetViews>
    <sheetView workbookViewId="0">
      <pane ySplit="1" topLeftCell="A2" activePane="bottomLeft" state="frozen"/>
      <selection activeCell="D24" sqref="D24"/>
      <selection pane="bottomLeft" activeCell="F3" sqref="F3"/>
    </sheetView>
  </sheetViews>
  <sheetFormatPr defaultColWidth="9.140625" defaultRowHeight="15" x14ac:dyDescent="0.25"/>
  <cols>
    <col min="1" max="1" width="13.85546875" style="7" bestFit="1" customWidth="1"/>
    <col min="2" max="2" width="8.28515625" style="2" customWidth="1"/>
    <col min="3" max="3" width="12" style="4" bestFit="1" customWidth="1"/>
    <col min="4" max="4" width="6.5703125" style="4" bestFit="1" customWidth="1"/>
    <col min="5" max="5" width="9.140625" style="4"/>
    <col min="6" max="6" width="9.42578125" style="2" bestFit="1" customWidth="1"/>
    <col min="7" max="7" width="11" style="4" bestFit="1" customWidth="1"/>
    <col min="8" max="16384" width="9.140625" style="4"/>
  </cols>
  <sheetData>
    <row r="1" spans="1:6" x14ac:dyDescent="0.25">
      <c r="A1" s="7" t="s">
        <v>6</v>
      </c>
      <c r="B1" s="2" t="s">
        <v>56</v>
      </c>
      <c r="C1" s="4" t="s">
        <v>55</v>
      </c>
      <c r="D1" s="4" t="s">
        <v>45</v>
      </c>
      <c r="F1" s="4" t="s">
        <v>57</v>
      </c>
    </row>
    <row r="2" spans="1:6" x14ac:dyDescent="0.25">
      <c r="A2" t="s">
        <v>34</v>
      </c>
      <c r="B2">
        <v>53.976599999999998</v>
      </c>
      <c r="F2" s="4"/>
    </row>
    <row r="3" spans="1:6" x14ac:dyDescent="0.25">
      <c r="A3" t="s">
        <v>34</v>
      </c>
      <c r="B3">
        <v>55.716200000000001</v>
      </c>
      <c r="C3" s="2">
        <f>AVERAGE(B2:B3)</f>
        <v>54.846400000000003</v>
      </c>
      <c r="D3" s="2">
        <f>(ABS(B3-B2)/C3)*100</f>
        <v>3.1717669710318321</v>
      </c>
      <c r="F3" s="2">
        <f>C3*83.26</f>
        <v>4566.5112640000007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42CB-AE59-40A1-BD91-CCF54BCDEE2A}">
  <dimension ref="A1:B70"/>
  <sheetViews>
    <sheetView tabSelected="1" workbookViewId="0">
      <selection activeCell="G17" sqref="G17"/>
    </sheetView>
  </sheetViews>
  <sheetFormatPr defaultColWidth="8.85546875" defaultRowHeight="15" x14ac:dyDescent="0.25"/>
  <cols>
    <col min="1" max="1" width="12" style="4" bestFit="1" customWidth="1"/>
    <col min="2" max="2" width="8.7109375" style="2" bestFit="1" customWidth="1"/>
  </cols>
  <sheetData>
    <row r="1" spans="1:2" x14ac:dyDescent="0.25">
      <c r="A1" s="4" t="s">
        <v>6</v>
      </c>
      <c r="B1" s="4" t="s">
        <v>57</v>
      </c>
    </row>
    <row r="2" spans="1:2" s="2" customFormat="1" x14ac:dyDescent="0.25"/>
    <row r="3" spans="1:2" x14ac:dyDescent="0.25">
      <c r="A3" t="s">
        <v>34</v>
      </c>
      <c r="B3" s="2">
        <v>4566.5112640000007</v>
      </c>
    </row>
    <row r="4" spans="1:2" x14ac:dyDescent="0.25">
      <c r="A4"/>
    </row>
    <row r="5" spans="1:2" x14ac:dyDescent="0.25">
      <c r="A5" s="9"/>
      <c r="B5" s="8"/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A1B9-C776-4845-A3B5-F8D41E691B27}">
  <dimension ref="B1:F27"/>
  <sheetViews>
    <sheetView workbookViewId="0">
      <selection activeCell="J29" sqref="J29"/>
    </sheetView>
  </sheetViews>
  <sheetFormatPr defaultColWidth="8.85546875" defaultRowHeight="15" x14ac:dyDescent="0.25"/>
  <cols>
    <col min="2" max="2" width="20.42578125" customWidth="1"/>
    <col min="3" max="3" width="20.7109375" bestFit="1" customWidth="1"/>
    <col min="4" max="4" width="20.85546875" customWidth="1"/>
    <col min="5" max="5" width="21.5703125" customWidth="1"/>
    <col min="6" max="6" width="25" bestFit="1" customWidth="1"/>
  </cols>
  <sheetData>
    <row r="1" spans="2:6" x14ac:dyDescent="0.25">
      <c r="B1" s="29" t="s">
        <v>77</v>
      </c>
      <c r="C1" s="29"/>
      <c r="D1" s="29"/>
      <c r="E1" s="29"/>
      <c r="F1" s="29"/>
    </row>
    <row r="2" spans="2:6" x14ac:dyDescent="0.25">
      <c r="B2" s="29" t="s">
        <v>76</v>
      </c>
      <c r="C2" s="29"/>
      <c r="D2" s="29"/>
      <c r="E2" s="29"/>
      <c r="F2" s="29"/>
    </row>
    <row r="3" spans="2:6" x14ac:dyDescent="0.25">
      <c r="B3" s="29" t="s">
        <v>75</v>
      </c>
      <c r="C3" s="29"/>
      <c r="D3" s="29"/>
      <c r="E3" s="29"/>
      <c r="F3" s="29"/>
    </row>
    <row r="4" spans="2:6" x14ac:dyDescent="0.25">
      <c r="C4" s="9"/>
    </row>
    <row r="5" spans="2:6" x14ac:dyDescent="0.25">
      <c r="B5" s="26" t="s">
        <v>74</v>
      </c>
      <c r="C5" s="30" t="s">
        <v>78</v>
      </c>
      <c r="D5" s="31"/>
      <c r="E5" s="28" t="s">
        <v>73</v>
      </c>
      <c r="F5" s="27"/>
    </row>
    <row r="6" spans="2:6" x14ac:dyDescent="0.25">
      <c r="B6" s="26" t="s">
        <v>72</v>
      </c>
      <c r="C6" s="25">
        <v>45681</v>
      </c>
      <c r="D6" s="24"/>
      <c r="E6" s="23" t="s">
        <v>71</v>
      </c>
      <c r="F6" s="16" t="s">
        <v>70</v>
      </c>
    </row>
    <row r="7" spans="2:6" x14ac:dyDescent="0.25">
      <c r="B7" s="22"/>
      <c r="C7" s="22"/>
      <c r="D7" s="22"/>
      <c r="E7" s="22"/>
      <c r="F7" s="22"/>
    </row>
    <row r="8" spans="2:6" ht="45" x14ac:dyDescent="0.25">
      <c r="B8" s="21" t="s">
        <v>69</v>
      </c>
      <c r="C8" s="21" t="s">
        <v>68</v>
      </c>
      <c r="D8" s="21" t="s">
        <v>67</v>
      </c>
      <c r="E8" s="21" t="s">
        <v>66</v>
      </c>
      <c r="F8" s="21" t="s">
        <v>65</v>
      </c>
    </row>
    <row r="9" spans="2:6" x14ac:dyDescent="0.25">
      <c r="B9" s="19"/>
      <c r="C9" s="20"/>
      <c r="D9" s="18"/>
      <c r="E9" s="19"/>
      <c r="F9" s="16"/>
    </row>
    <row r="10" spans="2:6" x14ac:dyDescent="0.25">
      <c r="B10" s="19"/>
      <c r="C10" s="20"/>
      <c r="D10" s="19"/>
      <c r="E10" s="19"/>
      <c r="F10" s="19"/>
    </row>
    <row r="11" spans="2:6" x14ac:dyDescent="0.25">
      <c r="B11" s="16"/>
      <c r="C11" s="16"/>
      <c r="D11" s="16"/>
      <c r="E11" s="16"/>
      <c r="F11" s="16"/>
    </row>
    <row r="12" spans="2:6" x14ac:dyDescent="0.25">
      <c r="B12" s="16"/>
      <c r="C12" s="16"/>
      <c r="D12" s="16"/>
      <c r="E12" s="16"/>
      <c r="F12" s="19"/>
    </row>
    <row r="13" spans="2:6" x14ac:dyDescent="0.25">
      <c r="B13" s="16"/>
      <c r="C13" s="16"/>
      <c r="D13" s="16"/>
      <c r="E13" s="16"/>
      <c r="F13" s="18"/>
    </row>
    <row r="14" spans="2:6" x14ac:dyDescent="0.25">
      <c r="B14" s="16"/>
      <c r="C14" s="16"/>
      <c r="D14" s="16"/>
      <c r="E14" s="16"/>
      <c r="F14" s="16"/>
    </row>
    <row r="15" spans="2:6" x14ac:dyDescent="0.25">
      <c r="B15" s="16"/>
      <c r="C15" s="16"/>
      <c r="D15" s="16"/>
      <c r="E15" s="16"/>
      <c r="F15" s="16"/>
    </row>
    <row r="16" spans="2:6" x14ac:dyDescent="0.25">
      <c r="B16" s="16"/>
      <c r="C16" s="16"/>
      <c r="D16" s="16"/>
      <c r="E16" s="16"/>
      <c r="F16" s="16"/>
    </row>
    <row r="17" spans="2:6" x14ac:dyDescent="0.25">
      <c r="B17" s="16"/>
      <c r="C17" s="16"/>
      <c r="D17" s="16"/>
      <c r="E17" s="16"/>
      <c r="F17" s="16"/>
    </row>
    <row r="18" spans="2:6" x14ac:dyDescent="0.25">
      <c r="B18" s="16"/>
      <c r="C18" s="16"/>
      <c r="D18" s="16"/>
      <c r="E18" s="16"/>
      <c r="F18" s="16"/>
    </row>
    <row r="19" spans="2:6" x14ac:dyDescent="0.25">
      <c r="B19" s="16"/>
      <c r="C19" s="16"/>
      <c r="D19" s="16"/>
      <c r="E19" s="16"/>
      <c r="F19" s="16"/>
    </row>
    <row r="20" spans="2:6" ht="30" x14ac:dyDescent="0.25">
      <c r="B20" s="16"/>
      <c r="C20" s="16"/>
      <c r="D20" s="16"/>
      <c r="E20" s="16"/>
      <c r="F20" s="17" t="s">
        <v>64</v>
      </c>
    </row>
    <row r="21" spans="2:6" ht="30" x14ac:dyDescent="0.25">
      <c r="B21" s="16"/>
      <c r="C21" s="16"/>
      <c r="D21" s="16"/>
      <c r="E21" s="16"/>
      <c r="F21" s="15" t="s">
        <v>63</v>
      </c>
    </row>
    <row r="23" spans="2:6" ht="15.75" thickBot="1" x14ac:dyDescent="0.3">
      <c r="B23" s="14" t="s">
        <v>62</v>
      </c>
      <c r="C23" s="12" t="s">
        <v>61</v>
      </c>
      <c r="D23" s="12"/>
      <c r="F23" s="13">
        <v>45685</v>
      </c>
    </row>
    <row r="24" spans="2:6" x14ac:dyDescent="0.25">
      <c r="C24" s="10" t="s">
        <v>60</v>
      </c>
      <c r="F24" s="10" t="s">
        <v>58</v>
      </c>
    </row>
    <row r="26" spans="2:6" ht="15.75" thickBot="1" x14ac:dyDescent="0.3">
      <c r="C26" s="12"/>
      <c r="D26" s="12"/>
      <c r="F26" s="12"/>
    </row>
    <row r="27" spans="2:6" x14ac:dyDescent="0.25">
      <c r="C27" s="11" t="s">
        <v>59</v>
      </c>
      <c r="D27" s="11"/>
      <c r="F27" s="10" t="s">
        <v>58</v>
      </c>
    </row>
  </sheetData>
  <mergeCells count="6">
    <mergeCell ref="B1:F1"/>
    <mergeCell ref="B2:F2"/>
    <mergeCell ref="B3:F3"/>
    <mergeCell ref="E5:F5"/>
    <mergeCell ref="C6:D6"/>
    <mergeCell ref="C5:D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MGIR250124_CB Sample DOC</vt:lpstr>
      <vt:lpstr>Calibration</vt:lpstr>
      <vt:lpstr>QC</vt:lpstr>
      <vt:lpstr>Samples</vt:lpstr>
      <vt:lpstr>Reported Results</vt:lpstr>
      <vt:lpstr>C.A.L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 Glinski</cp:lastModifiedBy>
  <dcterms:created xsi:type="dcterms:W3CDTF">2025-01-28T21:05:24Z</dcterms:created>
  <dcterms:modified xsi:type="dcterms:W3CDTF">2025-01-28T21:51:55Z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