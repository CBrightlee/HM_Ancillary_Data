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ailsyr-my.sharepoint.com/personal/mjglinsk_syr_edu/Documents/Desktop/Reports etc/Christian Bright/"/>
    </mc:Choice>
  </mc:AlternateContent>
  <xr:revisionPtr revIDLastSave="29" documentId="8_{52AE55DC-B7AD-4DA1-9FE4-F4D2DD444DC1}" xr6:coauthVersionLast="47" xr6:coauthVersionMax="47" xr10:uidLastSave="{12128BF9-1A76-4628-81FF-837226D2932C}"/>
  <bookViews>
    <workbookView xWindow="28680" yWindow="-120" windowWidth="24240" windowHeight="13140" xr2:uid="{0AB22443-61A0-42DF-A400-11B9097A02DE}"/>
  </bookViews>
  <sheets>
    <sheet name="MG241212_CB Samples DOC" sheetId="1" r:id="rId1"/>
    <sheet name="Calibration" sheetId="2" r:id="rId2"/>
    <sheet name="QC" sheetId="3" r:id="rId3"/>
    <sheet name="Samples" sheetId="4" r:id="rId4"/>
    <sheet name="Reported Results" sheetId="5" r:id="rId5"/>
    <sheet name="C.A.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D3" i="4"/>
  <c r="F3" i="4"/>
  <c r="C5" i="4"/>
  <c r="D5" i="4" s="1"/>
  <c r="C7" i="4"/>
  <c r="F7" i="4" s="1"/>
  <c r="C9" i="4"/>
  <c r="D9" i="4" s="1"/>
  <c r="C3" i="3"/>
  <c r="D3" i="3" s="1"/>
  <c r="C5" i="3"/>
  <c r="E5" i="3" s="1"/>
  <c r="C7" i="3"/>
  <c r="D7" i="3"/>
  <c r="E7" i="3"/>
  <c r="C9" i="3"/>
  <c r="D9" i="3" s="1"/>
  <c r="B18" i="3"/>
  <c r="D3" i="2"/>
  <c r="E3" i="2" s="1"/>
  <c r="D5" i="2"/>
  <c r="E5" i="2" s="1"/>
  <c r="D7" i="2"/>
  <c r="E7" i="2" s="1"/>
  <c r="D9" i="2"/>
  <c r="E9" i="2" s="1"/>
  <c r="D11" i="2"/>
  <c r="E11" i="2" s="1"/>
  <c r="D13" i="2"/>
  <c r="E13" i="2" s="1"/>
  <c r="D15" i="2"/>
  <c r="E15" i="2"/>
  <c r="D7" i="4" l="1"/>
  <c r="F9" i="4"/>
  <c r="F5" i="4"/>
  <c r="E3" i="3"/>
  <c r="D5" i="3"/>
  <c r="E9" i="3"/>
</calcChain>
</file>

<file path=xl/sharedStrings.xml><?xml version="1.0" encoding="utf-8"?>
<sst xmlns="http://schemas.openxmlformats.org/spreadsheetml/2006/main" count="388" uniqueCount="85">
  <si>
    <t>Report ID</t>
  </si>
  <si>
    <t>Instrument Name</t>
  </si>
  <si>
    <t>Instrument Version</t>
  </si>
  <si>
    <t>Schedule Name</t>
  </si>
  <si>
    <t>Sample Timestamp</t>
  </si>
  <si>
    <t>Sample Number</t>
  </si>
  <si>
    <t>Sample ID</t>
  </si>
  <si>
    <t>Sample Type</t>
  </si>
  <si>
    <t>Mean (per analysis type)</t>
  </si>
  <si>
    <t>Replicate Count</t>
  </si>
  <si>
    <t>Vial Position</t>
  </si>
  <si>
    <t>PPM</t>
  </si>
  <si>
    <t>Adjusted ABS</t>
  </si>
  <si>
    <t>Sample Pressure (psig)</t>
  </si>
  <si>
    <t>Method Name</t>
  </si>
  <si>
    <t>mario (mario)[509f35d8-ec19-4652-bbd7-857d56ce35cc]</t>
  </si>
  <si>
    <t>Fusion</t>
  </si>
  <si>
    <t>MG241212_CB Samples DOC</t>
  </si>
  <si>
    <t>Clean</t>
  </si>
  <si>
    <t>(Clean)</t>
  </si>
  <si>
    <t>Reagent/Acid Blank</t>
  </si>
  <si>
    <t>Blank</t>
  </si>
  <si>
    <t>(Blank)</t>
  </si>
  <si>
    <t>MQ Rinse</t>
  </si>
  <si>
    <t>Samples</t>
  </si>
  <si>
    <t>D</t>
  </si>
  <si>
    <t>TOC Waste Water</t>
  </si>
  <si>
    <t>MDL (0.2)</t>
  </si>
  <si>
    <t>QCS (18)</t>
  </si>
  <si>
    <t>C</t>
  </si>
  <si>
    <t>QCB</t>
  </si>
  <si>
    <t>B</t>
  </si>
  <si>
    <t>CCV1 (10)</t>
  </si>
  <si>
    <t>A</t>
  </si>
  <si>
    <t>CCB1</t>
  </si>
  <si>
    <t>CB Blank</t>
  </si>
  <si>
    <t>MWR NE</t>
  </si>
  <si>
    <t>MWR SE</t>
  </si>
  <si>
    <t>MWR N/S</t>
  </si>
  <si>
    <t>CCV2</t>
  </si>
  <si>
    <t>CCB2</t>
  </si>
  <si>
    <t>%RPD &lt;10</t>
  </si>
  <si>
    <t>[TOC] TOC 20ppm CAL [20.000 ppm]</t>
  </si>
  <si>
    <t>[TOC] TOC 20ppm CAL [10]</t>
  </si>
  <si>
    <t>[TOC] TOC 20ppm CAL [5]</t>
  </si>
  <si>
    <t>[TOC] TOC 20ppm CAL [2]</t>
  </si>
  <si>
    <t>[TOC] TOC 20ppm CAL [1]</t>
  </si>
  <si>
    <t>[TOC] TOC 20ppm CAL [0.4]</t>
  </si>
  <si>
    <t>[TOC] TOC 20ppm CAL [DI Water]</t>
  </si>
  <si>
    <t>%RPD</t>
  </si>
  <si>
    <t>Average</t>
  </si>
  <si>
    <t>NDIR (ADJUSTED ABS)</t>
  </si>
  <si>
    <t>Curve Value</t>
  </si>
  <si>
    <t>CCV1</t>
  </si>
  <si>
    <t>*%R 85-115</t>
  </si>
  <si>
    <t>QCS</t>
  </si>
  <si>
    <t>*%R MDL- 45-145</t>
  </si>
  <si>
    <t>MDL</t>
  </si>
  <si>
    <t>%R</t>
  </si>
  <si>
    <t>Mean ppm C</t>
  </si>
  <si>
    <t>PPM C</t>
  </si>
  <si>
    <t>umol/L C</t>
  </si>
  <si>
    <t>Date</t>
  </si>
  <si>
    <t>Project Investigator</t>
  </si>
  <si>
    <t>QA/QC Reviewer</t>
  </si>
  <si>
    <t>Mike Glinski</t>
  </si>
  <si>
    <t>Reviewed by:</t>
  </si>
  <si>
    <t>Above Curve: Dilute and Retest</t>
  </si>
  <si>
    <t>Below Detection Limit: Retest</t>
  </si>
  <si>
    <t>Blank Avg&lt;MDL</t>
  </si>
  <si>
    <t>Corrective Action/Explanation</t>
  </si>
  <si>
    <t>Criteria Comparison</t>
  </si>
  <si>
    <t>Affected Samples</t>
  </si>
  <si>
    <t>Excursions</t>
  </si>
  <si>
    <t>Project Number(s)/Batch Numbers</t>
  </si>
  <si>
    <t>Waste Water, 1:10 Dilution</t>
  </si>
  <si>
    <t>Method: TOC</t>
  </si>
  <si>
    <t xml:space="preserve">Date of Analysis: </t>
  </si>
  <si>
    <t>Instrument: Fusion</t>
  </si>
  <si>
    <t xml:space="preserve">Analyst: </t>
  </si>
  <si>
    <t>Corrective Action Log</t>
  </si>
  <si>
    <t>CESE</t>
  </si>
  <si>
    <t>Attachment 1</t>
  </si>
  <si>
    <t>Sample&gt;20PPM</t>
  </si>
  <si>
    <t>CB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</si>
</sst>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22" fontId="0" fillId="0" borderId="0" xfId="0" applyNumberFormat="1"/>
    <xf numFmtId="164" fontId="18" fillId="0" borderId="0" xfId="0" applyNumberFormat="1" applyFont="1"/>
    <xf numFmtId="164" fontId="0" fillId="0" borderId="0" xfId="0" applyNumberFormat="1"/>
    <xf numFmtId="0" fontId="18" fillId="0" borderId="0" xfId="0" applyFont="1"/>
    <xf numFmtId="0" fontId="18" fillId="33" borderId="0" xfId="0" applyFont="1" applyFill="1"/>
    <xf numFmtId="2" fontId="18" fillId="0" borderId="0" xfId="0" applyNumberFormat="1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14" fontId="0" fillId="0" borderId="11" xfId="0" applyNumberFormat="1" applyBorder="1"/>
    <xf numFmtId="0" fontId="0" fillId="0" borderId="0" xfId="0" applyAlignment="1">
      <alignment horizontal="right"/>
    </xf>
    <xf numFmtId="0" fontId="0" fillId="34" borderId="12" xfId="0" applyFill="1" applyBorder="1" applyAlignment="1">
      <alignment wrapText="1"/>
    </xf>
    <xf numFmtId="0" fontId="0" fillId="0" borderId="12" xfId="0" applyBorder="1"/>
    <xf numFmtId="0" fontId="0" fillId="33" borderId="12" xfId="0" applyFill="1" applyBorder="1" applyAlignment="1">
      <alignment wrapText="1"/>
    </xf>
    <xf numFmtId="0" fontId="14" fillId="0" borderId="12" xfId="0" applyFont="1" applyBorder="1" applyAlignment="1">
      <alignment wrapText="1"/>
    </xf>
    <xf numFmtId="0" fontId="0" fillId="0" borderId="12" xfId="0" applyBorder="1" applyAlignment="1">
      <alignment wrapText="1"/>
    </xf>
    <xf numFmtId="164" fontId="18" fillId="0" borderId="12" xfId="0" applyNumberFormat="1" applyFont="1" applyBorder="1"/>
    <xf numFmtId="164" fontId="18" fillId="0" borderId="12" xfId="0" applyNumberFormat="1" applyFont="1" applyBorder="1" applyAlignment="1">
      <alignment horizontal="center" vertical="center"/>
    </xf>
    <xf numFmtId="0" fontId="0" fillId="35" borderId="12" xfId="0" applyFill="1" applyBorder="1" applyAlignment="1">
      <alignment wrapText="1"/>
    </xf>
    <xf numFmtId="0" fontId="0" fillId="0" borderId="13" xfId="0" applyBorder="1"/>
    <xf numFmtId="0" fontId="19" fillId="0" borderId="12" xfId="0" applyFont="1" applyBorder="1"/>
    <xf numFmtId="0" fontId="19" fillId="0" borderId="12" xfId="0" applyFont="1" applyBorder="1" applyAlignment="1">
      <alignment horizontal="right"/>
    </xf>
    <xf numFmtId="0" fontId="14" fillId="0" borderId="0" xfId="0" applyFont="1"/>
    <xf numFmtId="164" fontId="14" fillId="0" borderId="0" xfId="0" applyNumberFormat="1" applyFont="1"/>
    <xf numFmtId="0" fontId="18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9" fillId="0" borderId="15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14" fontId="0" fillId="0" borderId="15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Calibration!$D$1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491338582677166"/>
                  <c:y val="-1.22506561679790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(Calibration!$B$3,Calibration!$B$5,Calibration!$B$7,Calibration!$B$9,Calibration!$B$11,Calibration!$B$13)</c:f>
              <c:numCache>
                <c:formatCode>General</c:formatCode>
                <c:ptCount val="6"/>
                <c:pt idx="0">
                  <c:v>0</c:v>
                </c:pt>
                <c:pt idx="1">
                  <c:v>0.4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10</c:v>
                </c:pt>
              </c:numCache>
            </c:numRef>
          </c:xVal>
          <c:yVal>
            <c:numRef>
              <c:f>(Calibration!$D$3,Calibration!$D$5,Calibration!$D$7,Calibration!$D$9,Calibration!$D$11,Calibration!$D$13)</c:f>
              <c:numCache>
                <c:formatCode>0.000</c:formatCode>
                <c:ptCount val="6"/>
                <c:pt idx="0">
                  <c:v>4.5649999999999995</c:v>
                </c:pt>
                <c:pt idx="1">
                  <c:v>10.425000000000001</c:v>
                </c:pt>
                <c:pt idx="2">
                  <c:v>19.865000000000002</c:v>
                </c:pt>
                <c:pt idx="3">
                  <c:v>34.92</c:v>
                </c:pt>
                <c:pt idx="4">
                  <c:v>81.324999999999989</c:v>
                </c:pt>
                <c:pt idx="5">
                  <c:v>160.70499999999998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5D-432D-BACE-285925882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896319"/>
        <c:axId val="1640895071"/>
      </c:scatterChart>
      <c:valAx>
        <c:axId val="1640896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895071"/>
        <c:crosses val="autoZero"/>
        <c:crossBetween val="midCat"/>
      </c:valAx>
      <c:valAx>
        <c:axId val="16408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896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0</xdr:rowOff>
    </xdr:from>
    <xdr:to>
      <xdr:col>12</xdr:col>
      <xdr:colOff>381000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B8A8A8-4F3F-4C4E-A5FD-09EAB71F6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F98F-8BC3-4ABF-A81F-042811B4A0E7}">
  <dimension ref="A1:O46"/>
  <sheetViews>
    <sheetView tabSelected="1" topLeftCell="A25" workbookViewId="0">
      <selection activeCell="F51" sqref="F51"/>
    </sheetView>
  </sheetViews>
  <sheetFormatPr defaultRowHeight="15" x14ac:dyDescent="0.25"/>
  <cols>
    <col min="5" max="5" width="18.140625" bestFit="1" customWidth="1"/>
    <col min="16" max="16" width="20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</v>
      </c>
      <c r="D2" t="s">
        <v>17</v>
      </c>
      <c r="E2" s="1">
        <v>45638.595266203702</v>
      </c>
      <c r="F2">
        <v>1</v>
      </c>
      <c r="G2" t="s">
        <v>18</v>
      </c>
      <c r="H2" t="s">
        <v>18</v>
      </c>
      <c r="J2">
        <v>4</v>
      </c>
      <c r="K2" t="s">
        <v>19</v>
      </c>
      <c r="M2">
        <v>-7.0000000000000007E-2</v>
      </c>
      <c r="N2">
        <v>50.267000000000003</v>
      </c>
    </row>
    <row r="3" spans="1:15" x14ac:dyDescent="0.25">
      <c r="A3" t="s">
        <v>15</v>
      </c>
      <c r="B3" t="s">
        <v>16</v>
      </c>
      <c r="C3">
        <v>1</v>
      </c>
      <c r="D3" t="s">
        <v>17</v>
      </c>
      <c r="E3" s="1">
        <v>45638.595266203702</v>
      </c>
      <c r="F3">
        <v>1</v>
      </c>
      <c r="G3" t="s">
        <v>18</v>
      </c>
      <c r="H3" t="s">
        <v>18</v>
      </c>
      <c r="J3">
        <v>4</v>
      </c>
      <c r="K3" t="s">
        <v>19</v>
      </c>
      <c r="M3">
        <v>24.46</v>
      </c>
      <c r="N3">
        <v>50.625</v>
      </c>
    </row>
    <row r="4" spans="1:15" x14ac:dyDescent="0.25">
      <c r="A4" t="s">
        <v>15</v>
      </c>
      <c r="B4" t="s">
        <v>16</v>
      </c>
      <c r="C4">
        <v>1</v>
      </c>
      <c r="D4" t="s">
        <v>17</v>
      </c>
      <c r="E4" s="1">
        <v>45638.595266203702</v>
      </c>
      <c r="F4">
        <v>1</v>
      </c>
      <c r="G4" t="s">
        <v>18</v>
      </c>
      <c r="H4" t="s">
        <v>18</v>
      </c>
      <c r="J4">
        <v>4</v>
      </c>
      <c r="K4" t="s">
        <v>19</v>
      </c>
      <c r="M4">
        <v>5.74</v>
      </c>
      <c r="N4">
        <v>50.822000000000003</v>
      </c>
    </row>
    <row r="5" spans="1:15" x14ac:dyDescent="0.25">
      <c r="A5" t="s">
        <v>15</v>
      </c>
      <c r="B5" t="s">
        <v>16</v>
      </c>
      <c r="C5">
        <v>1</v>
      </c>
      <c r="D5" t="s">
        <v>17</v>
      </c>
      <c r="E5" s="1">
        <v>45638.595266203702</v>
      </c>
      <c r="F5">
        <v>1</v>
      </c>
      <c r="G5" t="s">
        <v>18</v>
      </c>
      <c r="H5" t="s">
        <v>18</v>
      </c>
      <c r="J5">
        <v>4</v>
      </c>
      <c r="K5" t="s">
        <v>19</v>
      </c>
      <c r="M5">
        <v>3.95</v>
      </c>
      <c r="N5">
        <v>50.064</v>
      </c>
    </row>
    <row r="6" spans="1:15" x14ac:dyDescent="0.25">
      <c r="A6" t="s">
        <v>15</v>
      </c>
      <c r="B6" t="s">
        <v>16</v>
      </c>
      <c r="C6">
        <v>1</v>
      </c>
      <c r="D6" t="s">
        <v>17</v>
      </c>
      <c r="E6" s="1">
        <v>45638.610960648148</v>
      </c>
      <c r="F6">
        <v>2</v>
      </c>
      <c r="G6" t="s">
        <v>20</v>
      </c>
      <c r="H6" t="s">
        <v>21</v>
      </c>
      <c r="J6">
        <v>6</v>
      </c>
      <c r="K6" t="s">
        <v>22</v>
      </c>
      <c r="M6">
        <v>11.76</v>
      </c>
      <c r="N6">
        <v>49.73</v>
      </c>
    </row>
    <row r="7" spans="1:15" x14ac:dyDescent="0.25">
      <c r="A7" t="s">
        <v>15</v>
      </c>
      <c r="B7" t="s">
        <v>16</v>
      </c>
      <c r="C7">
        <v>1</v>
      </c>
      <c r="D7" t="s">
        <v>17</v>
      </c>
      <c r="E7" s="1">
        <v>45638.610960648148</v>
      </c>
      <c r="F7">
        <v>2</v>
      </c>
      <c r="G7" t="s">
        <v>20</v>
      </c>
      <c r="H7" t="s">
        <v>21</v>
      </c>
      <c r="J7">
        <v>6</v>
      </c>
      <c r="K7" t="s">
        <v>22</v>
      </c>
      <c r="M7">
        <v>9.09</v>
      </c>
      <c r="N7">
        <v>50.923999999999999</v>
      </c>
    </row>
    <row r="8" spans="1:15" x14ac:dyDescent="0.25">
      <c r="A8" t="s">
        <v>15</v>
      </c>
      <c r="B8" t="s">
        <v>16</v>
      </c>
      <c r="C8">
        <v>1</v>
      </c>
      <c r="D8" t="s">
        <v>17</v>
      </c>
      <c r="E8" s="1">
        <v>45638.610960648148</v>
      </c>
      <c r="F8">
        <v>2</v>
      </c>
      <c r="G8" t="s">
        <v>20</v>
      </c>
      <c r="H8" t="s">
        <v>21</v>
      </c>
      <c r="J8">
        <v>6</v>
      </c>
      <c r="K8" t="s">
        <v>22</v>
      </c>
      <c r="M8">
        <v>4.4400000000000004</v>
      </c>
      <c r="N8">
        <v>50.023000000000003</v>
      </c>
    </row>
    <row r="9" spans="1:15" x14ac:dyDescent="0.25">
      <c r="A9" t="s">
        <v>15</v>
      </c>
      <c r="B9" t="s">
        <v>16</v>
      </c>
      <c r="C9">
        <v>1</v>
      </c>
      <c r="D9" t="s">
        <v>17</v>
      </c>
      <c r="E9" s="1">
        <v>45638.610960648148</v>
      </c>
      <c r="F9">
        <v>2</v>
      </c>
      <c r="G9" t="s">
        <v>20</v>
      </c>
      <c r="H9" t="s">
        <v>21</v>
      </c>
      <c r="J9">
        <v>6</v>
      </c>
      <c r="K9" t="s">
        <v>22</v>
      </c>
      <c r="M9">
        <v>3.07</v>
      </c>
      <c r="N9">
        <v>50.795000000000002</v>
      </c>
    </row>
    <row r="10" spans="1:15" x14ac:dyDescent="0.25">
      <c r="A10" t="s">
        <v>15</v>
      </c>
      <c r="B10" t="s">
        <v>16</v>
      </c>
      <c r="C10">
        <v>1</v>
      </c>
      <c r="D10" t="s">
        <v>17</v>
      </c>
      <c r="E10" s="1">
        <v>45638.610960648148</v>
      </c>
      <c r="F10">
        <v>2</v>
      </c>
      <c r="G10" t="s">
        <v>20</v>
      </c>
      <c r="H10" t="s">
        <v>21</v>
      </c>
      <c r="J10">
        <v>6</v>
      </c>
      <c r="K10" t="s">
        <v>22</v>
      </c>
      <c r="M10">
        <v>8.48</v>
      </c>
      <c r="N10">
        <v>50.845999999999997</v>
      </c>
    </row>
    <row r="11" spans="1:15" x14ac:dyDescent="0.25">
      <c r="A11" t="s">
        <v>15</v>
      </c>
      <c r="B11" t="s">
        <v>16</v>
      </c>
      <c r="C11">
        <v>1</v>
      </c>
      <c r="D11" t="s">
        <v>17</v>
      </c>
      <c r="E11" s="1">
        <v>45638.610960648148</v>
      </c>
      <c r="F11">
        <v>2</v>
      </c>
      <c r="G11" t="s">
        <v>20</v>
      </c>
      <c r="H11" t="s">
        <v>21</v>
      </c>
      <c r="J11">
        <v>6</v>
      </c>
      <c r="K11" t="s">
        <v>22</v>
      </c>
      <c r="M11">
        <v>2.0299999999999998</v>
      </c>
      <c r="N11">
        <v>50.08</v>
      </c>
    </row>
    <row r="12" spans="1:15" x14ac:dyDescent="0.25">
      <c r="A12" t="s">
        <v>15</v>
      </c>
      <c r="B12" t="s">
        <v>16</v>
      </c>
      <c r="C12">
        <v>1</v>
      </c>
      <c r="D12" t="s">
        <v>17</v>
      </c>
      <c r="E12" s="1">
        <v>45638.634953703702</v>
      </c>
      <c r="F12">
        <v>3</v>
      </c>
      <c r="G12" t="s">
        <v>20</v>
      </c>
      <c r="H12" t="s">
        <v>21</v>
      </c>
      <c r="J12">
        <v>6</v>
      </c>
      <c r="K12" t="s">
        <v>22</v>
      </c>
      <c r="M12">
        <v>9.69</v>
      </c>
      <c r="N12">
        <v>49.636000000000003</v>
      </c>
    </row>
    <row r="13" spans="1:15" x14ac:dyDescent="0.25">
      <c r="A13" t="s">
        <v>15</v>
      </c>
      <c r="B13" t="s">
        <v>16</v>
      </c>
      <c r="C13">
        <v>1</v>
      </c>
      <c r="D13" t="s">
        <v>17</v>
      </c>
      <c r="E13" s="1">
        <v>45638.634953703702</v>
      </c>
      <c r="F13">
        <v>3</v>
      </c>
      <c r="G13" t="s">
        <v>20</v>
      </c>
      <c r="H13" t="s">
        <v>21</v>
      </c>
      <c r="J13">
        <v>6</v>
      </c>
      <c r="K13" t="s">
        <v>22</v>
      </c>
      <c r="M13">
        <v>7.21</v>
      </c>
      <c r="N13">
        <v>51.012</v>
      </c>
    </row>
    <row r="14" spans="1:15" x14ac:dyDescent="0.25">
      <c r="A14" t="s">
        <v>15</v>
      </c>
      <c r="B14" t="s">
        <v>16</v>
      </c>
      <c r="C14">
        <v>1</v>
      </c>
      <c r="D14" t="s">
        <v>17</v>
      </c>
      <c r="E14" s="1">
        <v>45638.634953703702</v>
      </c>
      <c r="F14">
        <v>3</v>
      </c>
      <c r="G14" t="s">
        <v>20</v>
      </c>
      <c r="H14" t="s">
        <v>21</v>
      </c>
      <c r="J14">
        <v>6</v>
      </c>
      <c r="K14" t="s">
        <v>22</v>
      </c>
      <c r="M14">
        <v>3.01</v>
      </c>
      <c r="N14">
        <v>50.637</v>
      </c>
    </row>
    <row r="15" spans="1:15" x14ac:dyDescent="0.25">
      <c r="A15" t="s">
        <v>15</v>
      </c>
      <c r="B15" t="s">
        <v>16</v>
      </c>
      <c r="C15">
        <v>1</v>
      </c>
      <c r="D15" t="s">
        <v>17</v>
      </c>
      <c r="E15" s="1">
        <v>45638.634953703702</v>
      </c>
      <c r="F15">
        <v>3</v>
      </c>
      <c r="G15" t="s">
        <v>20</v>
      </c>
      <c r="H15" t="s">
        <v>21</v>
      </c>
      <c r="J15">
        <v>6</v>
      </c>
      <c r="K15" t="s">
        <v>22</v>
      </c>
      <c r="M15">
        <v>1.95</v>
      </c>
      <c r="N15">
        <v>50.460999999999999</v>
      </c>
    </row>
    <row r="16" spans="1:15" x14ac:dyDescent="0.25">
      <c r="A16" t="s">
        <v>15</v>
      </c>
      <c r="B16" t="s">
        <v>16</v>
      </c>
      <c r="C16">
        <v>1</v>
      </c>
      <c r="D16" t="s">
        <v>17</v>
      </c>
      <c r="E16" s="1">
        <v>45638.634953703702</v>
      </c>
      <c r="F16">
        <v>3</v>
      </c>
      <c r="G16" t="s">
        <v>20</v>
      </c>
      <c r="H16" t="s">
        <v>21</v>
      </c>
      <c r="J16">
        <v>6</v>
      </c>
      <c r="K16" t="s">
        <v>22</v>
      </c>
      <c r="M16">
        <v>7.98</v>
      </c>
      <c r="N16">
        <v>50.927999999999997</v>
      </c>
    </row>
    <row r="17" spans="1:15" x14ac:dyDescent="0.25">
      <c r="A17" t="s">
        <v>15</v>
      </c>
      <c r="B17" t="s">
        <v>16</v>
      </c>
      <c r="C17">
        <v>1</v>
      </c>
      <c r="D17" t="s">
        <v>17</v>
      </c>
      <c r="E17" s="1">
        <v>45638.634953703702</v>
      </c>
      <c r="F17">
        <v>3</v>
      </c>
      <c r="G17" t="s">
        <v>20</v>
      </c>
      <c r="H17" t="s">
        <v>21</v>
      </c>
      <c r="J17">
        <v>6</v>
      </c>
      <c r="K17" t="s">
        <v>22</v>
      </c>
      <c r="M17">
        <v>1.8</v>
      </c>
      <c r="N17">
        <v>50.295999999999999</v>
      </c>
    </row>
    <row r="18" spans="1:15" x14ac:dyDescent="0.25">
      <c r="A18" t="s">
        <v>15</v>
      </c>
      <c r="B18" t="s">
        <v>16</v>
      </c>
      <c r="C18">
        <v>1</v>
      </c>
      <c r="D18" t="s">
        <v>17</v>
      </c>
      <c r="E18" s="1">
        <v>45638.658750000002</v>
      </c>
      <c r="F18">
        <v>4</v>
      </c>
      <c r="G18" t="s">
        <v>23</v>
      </c>
      <c r="H18" t="s">
        <v>24</v>
      </c>
      <c r="I18">
        <v>0.30919999999999997</v>
      </c>
      <c r="J18">
        <v>3</v>
      </c>
      <c r="K18" t="s">
        <v>25</v>
      </c>
      <c r="L18">
        <v>0.2984</v>
      </c>
      <c r="M18">
        <v>8.5</v>
      </c>
      <c r="N18">
        <v>50.427</v>
      </c>
      <c r="O18" t="s">
        <v>26</v>
      </c>
    </row>
    <row r="19" spans="1:15" x14ac:dyDescent="0.25">
      <c r="A19" t="s">
        <v>15</v>
      </c>
      <c r="B19" t="s">
        <v>16</v>
      </c>
      <c r="C19">
        <v>1</v>
      </c>
      <c r="D19" t="s">
        <v>17</v>
      </c>
      <c r="E19" s="1">
        <v>45638.658750000002</v>
      </c>
      <c r="F19">
        <v>4</v>
      </c>
      <c r="G19" t="s">
        <v>23</v>
      </c>
      <c r="H19" t="s">
        <v>24</v>
      </c>
      <c r="I19">
        <v>0.30919999999999997</v>
      </c>
      <c r="J19">
        <v>3</v>
      </c>
      <c r="K19" t="s">
        <v>25</v>
      </c>
      <c r="L19">
        <v>0.29659999999999997</v>
      </c>
      <c r="M19">
        <v>8.4700000000000006</v>
      </c>
      <c r="N19">
        <v>50.54</v>
      </c>
      <c r="O19" t="s">
        <v>26</v>
      </c>
    </row>
    <row r="20" spans="1:15" x14ac:dyDescent="0.25">
      <c r="A20" t="s">
        <v>15</v>
      </c>
      <c r="B20" t="s">
        <v>16</v>
      </c>
      <c r="C20">
        <v>1</v>
      </c>
      <c r="D20" t="s">
        <v>17</v>
      </c>
      <c r="E20" s="1">
        <v>45638.658750000002</v>
      </c>
      <c r="F20">
        <v>4</v>
      </c>
      <c r="G20" t="s">
        <v>23</v>
      </c>
      <c r="H20" t="s">
        <v>24</v>
      </c>
      <c r="I20">
        <v>0.30919999999999997</v>
      </c>
      <c r="J20">
        <v>3</v>
      </c>
      <c r="K20" t="s">
        <v>25</v>
      </c>
      <c r="L20">
        <v>0.3327</v>
      </c>
      <c r="M20">
        <v>9.02</v>
      </c>
      <c r="N20">
        <v>50.643000000000001</v>
      </c>
      <c r="O20" t="s">
        <v>26</v>
      </c>
    </row>
    <row r="21" spans="1:15" x14ac:dyDescent="0.25">
      <c r="A21" t="s">
        <v>15</v>
      </c>
      <c r="B21" t="s">
        <v>16</v>
      </c>
      <c r="C21">
        <v>1</v>
      </c>
      <c r="D21" t="s">
        <v>17</v>
      </c>
      <c r="E21" s="1">
        <v>45638.6715625</v>
      </c>
      <c r="F21">
        <v>5</v>
      </c>
      <c r="G21" t="s">
        <v>27</v>
      </c>
      <c r="H21" t="s">
        <v>24</v>
      </c>
      <c r="I21">
        <v>0.21659999999999999</v>
      </c>
      <c r="J21">
        <v>2</v>
      </c>
      <c r="K21">
        <v>1</v>
      </c>
      <c r="L21">
        <v>0.21959999999999999</v>
      </c>
      <c r="M21">
        <v>7.31</v>
      </c>
      <c r="N21">
        <v>50.496000000000002</v>
      </c>
      <c r="O21" t="s">
        <v>26</v>
      </c>
    </row>
    <row r="22" spans="1:15" x14ac:dyDescent="0.25">
      <c r="A22" t="s">
        <v>15</v>
      </c>
      <c r="B22" t="s">
        <v>16</v>
      </c>
      <c r="C22">
        <v>1</v>
      </c>
      <c r="D22" t="s">
        <v>17</v>
      </c>
      <c r="E22" s="1">
        <v>45638.6715625</v>
      </c>
      <c r="F22">
        <v>5</v>
      </c>
      <c r="G22" t="s">
        <v>27</v>
      </c>
      <c r="H22" t="s">
        <v>24</v>
      </c>
      <c r="I22">
        <v>0.21659999999999999</v>
      </c>
      <c r="J22">
        <v>2</v>
      </c>
      <c r="K22">
        <v>1</v>
      </c>
      <c r="L22">
        <v>0.21360000000000001</v>
      </c>
      <c r="M22">
        <v>7.22</v>
      </c>
      <c r="N22">
        <v>50.512999999999998</v>
      </c>
      <c r="O22" t="s">
        <v>26</v>
      </c>
    </row>
    <row r="23" spans="1:15" x14ac:dyDescent="0.25">
      <c r="A23" t="s">
        <v>15</v>
      </c>
      <c r="B23" t="s">
        <v>16</v>
      </c>
      <c r="C23">
        <v>1</v>
      </c>
      <c r="D23" t="s">
        <v>17</v>
      </c>
      <c r="E23" s="1">
        <v>45638.680879629632</v>
      </c>
      <c r="F23">
        <v>6</v>
      </c>
      <c r="G23" t="s">
        <v>28</v>
      </c>
      <c r="H23" t="s">
        <v>24</v>
      </c>
      <c r="I23">
        <v>15.5627</v>
      </c>
      <c r="J23">
        <v>2</v>
      </c>
      <c r="K23" t="s">
        <v>29</v>
      </c>
      <c r="L23">
        <v>15.327</v>
      </c>
      <c r="M23">
        <v>235.05</v>
      </c>
      <c r="N23">
        <v>50.588999999999999</v>
      </c>
      <c r="O23" t="s">
        <v>26</v>
      </c>
    </row>
    <row r="24" spans="1:15" x14ac:dyDescent="0.25">
      <c r="A24" t="s">
        <v>15</v>
      </c>
      <c r="B24" t="s">
        <v>16</v>
      </c>
      <c r="C24">
        <v>1</v>
      </c>
      <c r="D24" t="s">
        <v>17</v>
      </c>
      <c r="E24" s="1">
        <v>45638.680879629632</v>
      </c>
      <c r="F24">
        <v>6</v>
      </c>
      <c r="G24" t="s">
        <v>28</v>
      </c>
      <c r="H24" t="s">
        <v>24</v>
      </c>
      <c r="I24">
        <v>15.5627</v>
      </c>
      <c r="J24">
        <v>2</v>
      </c>
      <c r="K24" t="s">
        <v>29</v>
      </c>
      <c r="L24">
        <v>15.798400000000001</v>
      </c>
      <c r="M24">
        <v>242.16</v>
      </c>
      <c r="N24">
        <v>50.658000000000001</v>
      </c>
      <c r="O24" t="s">
        <v>26</v>
      </c>
    </row>
    <row r="25" spans="1:15" x14ac:dyDescent="0.25">
      <c r="A25" t="s">
        <v>15</v>
      </c>
      <c r="B25" t="s">
        <v>16</v>
      </c>
      <c r="C25">
        <v>1</v>
      </c>
      <c r="D25" t="s">
        <v>17</v>
      </c>
      <c r="E25" s="1">
        <v>45638.69027777778</v>
      </c>
      <c r="F25">
        <v>7</v>
      </c>
      <c r="G25" t="s">
        <v>30</v>
      </c>
      <c r="H25" t="s">
        <v>24</v>
      </c>
      <c r="I25">
        <v>2.4500000000000001E-2</v>
      </c>
      <c r="J25">
        <v>2</v>
      </c>
      <c r="K25" t="s">
        <v>31</v>
      </c>
      <c r="L25">
        <v>4.6199999999999998E-2</v>
      </c>
      <c r="M25">
        <v>4.7</v>
      </c>
      <c r="N25">
        <v>50.347999999999999</v>
      </c>
      <c r="O25" t="s">
        <v>26</v>
      </c>
    </row>
    <row r="26" spans="1:15" x14ac:dyDescent="0.25">
      <c r="A26" t="s">
        <v>15</v>
      </c>
      <c r="B26" t="s">
        <v>16</v>
      </c>
      <c r="C26">
        <v>1</v>
      </c>
      <c r="D26" t="s">
        <v>17</v>
      </c>
      <c r="E26" s="1">
        <v>45638.69027777778</v>
      </c>
      <c r="F26">
        <v>7</v>
      </c>
      <c r="G26" t="s">
        <v>30</v>
      </c>
      <c r="H26" t="s">
        <v>24</v>
      </c>
      <c r="I26">
        <v>2.4500000000000001E-2</v>
      </c>
      <c r="J26">
        <v>2</v>
      </c>
      <c r="K26" t="s">
        <v>31</v>
      </c>
      <c r="L26">
        <v>2.8E-3</v>
      </c>
      <c r="M26">
        <v>4.05</v>
      </c>
      <c r="N26">
        <v>50.540999999999997</v>
      </c>
      <c r="O26" t="s">
        <v>26</v>
      </c>
    </row>
    <row r="27" spans="1:15" x14ac:dyDescent="0.25">
      <c r="A27" t="s">
        <v>15</v>
      </c>
      <c r="B27" t="s">
        <v>16</v>
      </c>
      <c r="C27">
        <v>1</v>
      </c>
      <c r="D27" t="s">
        <v>17</v>
      </c>
      <c r="E27" s="1">
        <v>45638.699641203704</v>
      </c>
      <c r="F27">
        <v>8</v>
      </c>
      <c r="G27" t="s">
        <v>32</v>
      </c>
      <c r="H27" t="s">
        <v>24</v>
      </c>
      <c r="I27">
        <v>9.6577000000000002</v>
      </c>
      <c r="J27">
        <v>2</v>
      </c>
      <c r="K27" t="s">
        <v>33</v>
      </c>
      <c r="L27">
        <v>9.5548000000000002</v>
      </c>
      <c r="M27">
        <v>148.04</v>
      </c>
      <c r="N27">
        <v>50.427999999999997</v>
      </c>
      <c r="O27" t="s">
        <v>26</v>
      </c>
    </row>
    <row r="28" spans="1:15" x14ac:dyDescent="0.25">
      <c r="A28" t="s">
        <v>15</v>
      </c>
      <c r="B28" t="s">
        <v>16</v>
      </c>
      <c r="C28">
        <v>1</v>
      </c>
      <c r="D28" t="s">
        <v>17</v>
      </c>
      <c r="E28" s="1">
        <v>45638.699641203704</v>
      </c>
      <c r="F28">
        <v>8</v>
      </c>
      <c r="G28" t="s">
        <v>32</v>
      </c>
      <c r="H28" t="s">
        <v>24</v>
      </c>
      <c r="I28">
        <v>9.6577000000000002</v>
      </c>
      <c r="J28">
        <v>2</v>
      </c>
      <c r="K28" t="s">
        <v>33</v>
      </c>
      <c r="L28">
        <v>9.7606000000000002</v>
      </c>
      <c r="M28">
        <v>151.13999999999999</v>
      </c>
      <c r="N28">
        <v>50.548999999999999</v>
      </c>
      <c r="O28" t="s">
        <v>26</v>
      </c>
    </row>
    <row r="29" spans="1:15" x14ac:dyDescent="0.25">
      <c r="A29" t="s">
        <v>15</v>
      </c>
      <c r="B29" t="s">
        <v>16</v>
      </c>
      <c r="C29">
        <v>1</v>
      </c>
      <c r="D29" t="s">
        <v>17</v>
      </c>
      <c r="E29" s="1">
        <v>45638.709085648145</v>
      </c>
      <c r="F29">
        <v>9</v>
      </c>
      <c r="G29" t="s">
        <v>34</v>
      </c>
      <c r="H29" t="s">
        <v>24</v>
      </c>
      <c r="I29">
        <v>2.3E-2</v>
      </c>
      <c r="J29">
        <v>2</v>
      </c>
      <c r="K29" t="s">
        <v>31</v>
      </c>
      <c r="L29">
        <v>3.3300000000000003E-2</v>
      </c>
      <c r="M29">
        <v>4.51</v>
      </c>
      <c r="N29">
        <v>50.408000000000001</v>
      </c>
      <c r="O29" t="s">
        <v>26</v>
      </c>
    </row>
    <row r="30" spans="1:15" x14ac:dyDescent="0.25">
      <c r="A30" t="s">
        <v>15</v>
      </c>
      <c r="B30" t="s">
        <v>16</v>
      </c>
      <c r="C30">
        <v>1</v>
      </c>
      <c r="D30" t="s">
        <v>17</v>
      </c>
      <c r="E30" s="1">
        <v>45638.709085648145</v>
      </c>
      <c r="F30">
        <v>9</v>
      </c>
      <c r="G30" t="s">
        <v>34</v>
      </c>
      <c r="H30" t="s">
        <v>24</v>
      </c>
      <c r="I30">
        <v>2.3E-2</v>
      </c>
      <c r="J30">
        <v>2</v>
      </c>
      <c r="K30" t="s">
        <v>31</v>
      </c>
      <c r="L30">
        <v>1.26E-2</v>
      </c>
      <c r="M30">
        <v>4.1900000000000004</v>
      </c>
      <c r="N30">
        <v>50.692999999999998</v>
      </c>
      <c r="O30" t="s">
        <v>26</v>
      </c>
    </row>
    <row r="31" spans="1:15" x14ac:dyDescent="0.25">
      <c r="A31" t="s">
        <v>15</v>
      </c>
      <c r="B31" t="s">
        <v>16</v>
      </c>
      <c r="C31">
        <v>1</v>
      </c>
      <c r="D31" t="s">
        <v>17</v>
      </c>
      <c r="E31" s="1">
        <v>45638.718541666669</v>
      </c>
      <c r="F31">
        <v>10</v>
      </c>
      <c r="G31" t="s">
        <v>35</v>
      </c>
      <c r="H31" t="s">
        <v>24</v>
      </c>
      <c r="I31">
        <v>0.1666</v>
      </c>
      <c r="J31">
        <v>2</v>
      </c>
      <c r="K31">
        <v>2</v>
      </c>
      <c r="L31">
        <v>0.17519999999999999</v>
      </c>
      <c r="M31">
        <v>6.64</v>
      </c>
      <c r="N31">
        <v>50.374000000000002</v>
      </c>
      <c r="O31" t="s">
        <v>26</v>
      </c>
    </row>
    <row r="32" spans="1:15" x14ac:dyDescent="0.25">
      <c r="A32" t="s">
        <v>15</v>
      </c>
      <c r="B32" t="s">
        <v>16</v>
      </c>
      <c r="C32">
        <v>1</v>
      </c>
      <c r="D32" t="s">
        <v>17</v>
      </c>
      <c r="E32" s="1">
        <v>45638.718541666669</v>
      </c>
      <c r="F32">
        <v>10</v>
      </c>
      <c r="G32" t="s">
        <v>35</v>
      </c>
      <c r="H32" t="s">
        <v>24</v>
      </c>
      <c r="I32">
        <v>0.1666</v>
      </c>
      <c r="J32">
        <v>2</v>
      </c>
      <c r="K32">
        <v>2</v>
      </c>
      <c r="L32">
        <v>0.158</v>
      </c>
      <c r="M32">
        <v>6.38</v>
      </c>
      <c r="N32">
        <v>50.524999999999999</v>
      </c>
      <c r="O32" t="s">
        <v>26</v>
      </c>
    </row>
    <row r="33" spans="1:15" x14ac:dyDescent="0.25">
      <c r="A33" t="s">
        <v>15</v>
      </c>
      <c r="B33" t="s">
        <v>16</v>
      </c>
      <c r="C33">
        <v>1</v>
      </c>
      <c r="D33" t="s">
        <v>17</v>
      </c>
      <c r="E33" s="1">
        <v>45638.727847222224</v>
      </c>
      <c r="F33">
        <v>11</v>
      </c>
      <c r="G33" t="s">
        <v>36</v>
      </c>
      <c r="H33" t="s">
        <v>24</v>
      </c>
      <c r="I33">
        <v>2.7071000000000001</v>
      </c>
      <c r="J33">
        <v>2</v>
      </c>
      <c r="K33">
        <v>3</v>
      </c>
      <c r="L33">
        <v>2.7227000000000001</v>
      </c>
      <c r="M33">
        <v>45.05</v>
      </c>
      <c r="N33">
        <v>50.399000000000001</v>
      </c>
      <c r="O33" t="s">
        <v>26</v>
      </c>
    </row>
    <row r="34" spans="1:15" x14ac:dyDescent="0.25">
      <c r="A34" t="s">
        <v>15</v>
      </c>
      <c r="B34" t="s">
        <v>16</v>
      </c>
      <c r="C34">
        <v>1</v>
      </c>
      <c r="D34" t="s">
        <v>17</v>
      </c>
      <c r="E34" s="1">
        <v>45638.727847222224</v>
      </c>
      <c r="F34">
        <v>11</v>
      </c>
      <c r="G34" t="s">
        <v>36</v>
      </c>
      <c r="H34" t="s">
        <v>24</v>
      </c>
      <c r="I34">
        <v>2.7071000000000001</v>
      </c>
      <c r="J34">
        <v>2</v>
      </c>
      <c r="K34">
        <v>3</v>
      </c>
      <c r="L34">
        <v>2.6915</v>
      </c>
      <c r="M34">
        <v>44.58</v>
      </c>
      <c r="N34">
        <v>50.564999999999998</v>
      </c>
      <c r="O34" t="s">
        <v>26</v>
      </c>
    </row>
    <row r="35" spans="1:15" x14ac:dyDescent="0.25">
      <c r="A35" t="s">
        <v>15</v>
      </c>
      <c r="B35" t="s">
        <v>16</v>
      </c>
      <c r="C35">
        <v>1</v>
      </c>
      <c r="D35" t="s">
        <v>17</v>
      </c>
      <c r="E35" s="1">
        <v>45638.73704861111</v>
      </c>
      <c r="F35">
        <v>12</v>
      </c>
      <c r="G35" t="s">
        <v>37</v>
      </c>
      <c r="H35" t="s">
        <v>24</v>
      </c>
      <c r="I35">
        <v>12.2874</v>
      </c>
      <c r="J35">
        <v>2</v>
      </c>
      <c r="K35">
        <v>4</v>
      </c>
      <c r="L35">
        <v>12.0566</v>
      </c>
      <c r="M35">
        <v>185.75</v>
      </c>
      <c r="N35">
        <v>50.58</v>
      </c>
      <c r="O35" t="s">
        <v>26</v>
      </c>
    </row>
    <row r="36" spans="1:15" x14ac:dyDescent="0.25">
      <c r="A36" t="s">
        <v>15</v>
      </c>
      <c r="B36" t="s">
        <v>16</v>
      </c>
      <c r="C36">
        <v>1</v>
      </c>
      <c r="D36" t="s">
        <v>17</v>
      </c>
      <c r="E36" s="1">
        <v>45638.73704861111</v>
      </c>
      <c r="F36">
        <v>12</v>
      </c>
      <c r="G36" t="s">
        <v>37</v>
      </c>
      <c r="H36" t="s">
        <v>24</v>
      </c>
      <c r="I36">
        <v>12.2874</v>
      </c>
      <c r="J36">
        <v>2</v>
      </c>
      <c r="K36">
        <v>4</v>
      </c>
      <c r="L36">
        <v>12.5182</v>
      </c>
      <c r="M36">
        <v>192.71</v>
      </c>
      <c r="N36">
        <v>50.393999999999998</v>
      </c>
      <c r="O36" t="s">
        <v>26</v>
      </c>
    </row>
    <row r="37" spans="1:15" x14ac:dyDescent="0.25">
      <c r="A37" t="s">
        <v>15</v>
      </c>
      <c r="B37" t="s">
        <v>16</v>
      </c>
      <c r="C37">
        <v>1</v>
      </c>
      <c r="D37" t="s">
        <v>17</v>
      </c>
      <c r="E37" s="1">
        <v>45638.746296296296</v>
      </c>
      <c r="F37">
        <v>13</v>
      </c>
      <c r="G37" t="s">
        <v>38</v>
      </c>
      <c r="H37" t="s">
        <v>24</v>
      </c>
      <c r="I37">
        <v>44.158200000000001</v>
      </c>
      <c r="J37">
        <v>2</v>
      </c>
      <c r="K37">
        <v>5</v>
      </c>
      <c r="L37">
        <v>40.713799999999999</v>
      </c>
      <c r="M37">
        <v>617.74</v>
      </c>
      <c r="N37">
        <v>50.48</v>
      </c>
      <c r="O37" t="s">
        <v>26</v>
      </c>
    </row>
    <row r="38" spans="1:15" x14ac:dyDescent="0.25">
      <c r="A38" t="s">
        <v>15</v>
      </c>
      <c r="B38" t="s">
        <v>16</v>
      </c>
      <c r="C38">
        <v>1</v>
      </c>
      <c r="D38" t="s">
        <v>17</v>
      </c>
      <c r="E38" s="1">
        <v>45638.746296296296</v>
      </c>
      <c r="F38">
        <v>13</v>
      </c>
      <c r="G38" t="s">
        <v>38</v>
      </c>
      <c r="H38" t="s">
        <v>24</v>
      </c>
      <c r="I38">
        <v>44.158200000000001</v>
      </c>
      <c r="J38">
        <v>2</v>
      </c>
      <c r="K38">
        <v>5</v>
      </c>
      <c r="L38">
        <v>47.602600000000002</v>
      </c>
      <c r="M38">
        <v>721.59</v>
      </c>
      <c r="N38">
        <v>50.57</v>
      </c>
      <c r="O38" t="s">
        <v>26</v>
      </c>
    </row>
    <row r="39" spans="1:15" x14ac:dyDescent="0.25">
      <c r="A39" t="s">
        <v>15</v>
      </c>
      <c r="B39" t="s">
        <v>16</v>
      </c>
      <c r="C39">
        <v>1</v>
      </c>
      <c r="D39" t="s">
        <v>17</v>
      </c>
      <c r="E39" s="1">
        <v>45638.755601851852</v>
      </c>
      <c r="F39">
        <v>14</v>
      </c>
      <c r="G39" t="s">
        <v>39</v>
      </c>
      <c r="H39" t="s">
        <v>24</v>
      </c>
      <c r="I39">
        <v>10.5657</v>
      </c>
      <c r="J39">
        <v>2</v>
      </c>
      <c r="K39" t="s">
        <v>33</v>
      </c>
      <c r="L39">
        <v>10.4689</v>
      </c>
      <c r="M39">
        <v>161.82</v>
      </c>
      <c r="N39">
        <v>50.686</v>
      </c>
      <c r="O39" t="s">
        <v>26</v>
      </c>
    </row>
    <row r="40" spans="1:15" x14ac:dyDescent="0.25">
      <c r="A40" t="s">
        <v>15</v>
      </c>
      <c r="B40" t="s">
        <v>16</v>
      </c>
      <c r="C40">
        <v>1</v>
      </c>
      <c r="D40" t="s">
        <v>17</v>
      </c>
      <c r="E40" s="1">
        <v>45638.755601851852</v>
      </c>
      <c r="F40">
        <v>14</v>
      </c>
      <c r="G40" t="s">
        <v>39</v>
      </c>
      <c r="H40" t="s">
        <v>24</v>
      </c>
      <c r="I40">
        <v>10.5657</v>
      </c>
      <c r="J40">
        <v>2</v>
      </c>
      <c r="K40" t="s">
        <v>33</v>
      </c>
      <c r="L40">
        <v>10.6625</v>
      </c>
      <c r="M40">
        <v>164.73</v>
      </c>
      <c r="N40">
        <v>50.712000000000003</v>
      </c>
      <c r="O40" t="s">
        <v>26</v>
      </c>
    </row>
    <row r="41" spans="1:15" x14ac:dyDescent="0.25">
      <c r="A41" t="s">
        <v>15</v>
      </c>
      <c r="B41" t="s">
        <v>16</v>
      </c>
      <c r="C41">
        <v>1</v>
      </c>
      <c r="D41" t="s">
        <v>17</v>
      </c>
      <c r="E41" s="1">
        <v>45638.764930555553</v>
      </c>
      <c r="F41">
        <v>15</v>
      </c>
      <c r="G41" t="s">
        <v>40</v>
      </c>
      <c r="H41" t="s">
        <v>24</v>
      </c>
      <c r="I41">
        <v>0.42409999999999998</v>
      </c>
      <c r="J41">
        <v>2</v>
      </c>
      <c r="K41" t="s">
        <v>31</v>
      </c>
      <c r="L41">
        <v>0.41860000000000003</v>
      </c>
      <c r="M41">
        <v>10.31</v>
      </c>
      <c r="N41">
        <v>50.436999999999998</v>
      </c>
      <c r="O41" t="s">
        <v>26</v>
      </c>
    </row>
    <row r="42" spans="1:15" x14ac:dyDescent="0.25">
      <c r="A42" t="s">
        <v>15</v>
      </c>
      <c r="B42" t="s">
        <v>16</v>
      </c>
      <c r="C42">
        <v>1</v>
      </c>
      <c r="D42" t="s">
        <v>17</v>
      </c>
      <c r="E42" s="1">
        <v>45638.764930555553</v>
      </c>
      <c r="F42">
        <v>15</v>
      </c>
      <c r="G42" t="s">
        <v>40</v>
      </c>
      <c r="H42" t="s">
        <v>24</v>
      </c>
      <c r="I42">
        <v>0.42409999999999998</v>
      </c>
      <c r="J42">
        <v>2</v>
      </c>
      <c r="K42" t="s">
        <v>31</v>
      </c>
      <c r="L42">
        <v>0.42959999999999998</v>
      </c>
      <c r="M42">
        <v>10.48</v>
      </c>
      <c r="N42">
        <v>50.566000000000003</v>
      </c>
      <c r="O42" t="s">
        <v>26</v>
      </c>
    </row>
    <row r="43" spans="1:15" x14ac:dyDescent="0.25">
      <c r="A43" t="s">
        <v>15</v>
      </c>
      <c r="B43" t="s">
        <v>16</v>
      </c>
      <c r="C43">
        <v>1</v>
      </c>
      <c r="D43" t="s">
        <v>17</v>
      </c>
      <c r="E43" s="1">
        <v>45638.774305555555</v>
      </c>
      <c r="F43">
        <v>16</v>
      </c>
      <c r="G43" t="s">
        <v>18</v>
      </c>
      <c r="H43" t="s">
        <v>18</v>
      </c>
      <c r="J43">
        <v>4</v>
      </c>
      <c r="K43" t="s">
        <v>19</v>
      </c>
      <c r="M43">
        <v>-2.11</v>
      </c>
      <c r="N43">
        <v>50.048999999999999</v>
      </c>
    </row>
    <row r="44" spans="1:15" x14ac:dyDescent="0.25">
      <c r="A44" t="s">
        <v>15</v>
      </c>
      <c r="B44" t="s">
        <v>16</v>
      </c>
      <c r="C44">
        <v>1</v>
      </c>
      <c r="D44" t="s">
        <v>17</v>
      </c>
      <c r="E44" s="1">
        <v>45638.774305555555</v>
      </c>
      <c r="F44">
        <v>16</v>
      </c>
      <c r="G44" t="s">
        <v>18</v>
      </c>
      <c r="H44" t="s">
        <v>18</v>
      </c>
      <c r="J44">
        <v>4</v>
      </c>
      <c r="K44" t="s">
        <v>19</v>
      </c>
      <c r="M44">
        <v>14.87</v>
      </c>
      <c r="N44">
        <v>50.38</v>
      </c>
    </row>
    <row r="45" spans="1:15" x14ac:dyDescent="0.25">
      <c r="A45" t="s">
        <v>15</v>
      </c>
      <c r="B45" t="s">
        <v>16</v>
      </c>
      <c r="C45">
        <v>1</v>
      </c>
      <c r="D45" t="s">
        <v>17</v>
      </c>
      <c r="E45" s="1">
        <v>45638.774305555555</v>
      </c>
      <c r="F45">
        <v>16</v>
      </c>
      <c r="G45" t="s">
        <v>18</v>
      </c>
      <c r="H45" t="s">
        <v>18</v>
      </c>
      <c r="J45">
        <v>4</v>
      </c>
      <c r="K45" t="s">
        <v>19</v>
      </c>
      <c r="M45">
        <v>10.47</v>
      </c>
      <c r="N45">
        <v>50.375999999999998</v>
      </c>
    </row>
    <row r="46" spans="1:15" x14ac:dyDescent="0.25">
      <c r="A46" t="s">
        <v>15</v>
      </c>
      <c r="B46" t="s">
        <v>16</v>
      </c>
      <c r="C46">
        <v>1</v>
      </c>
      <c r="D46" t="s">
        <v>17</v>
      </c>
      <c r="E46" s="1">
        <v>45638.774305555555</v>
      </c>
      <c r="F46">
        <v>16</v>
      </c>
      <c r="G46" t="s">
        <v>18</v>
      </c>
      <c r="H46" t="s">
        <v>18</v>
      </c>
      <c r="J46">
        <v>4</v>
      </c>
      <c r="K46" t="s">
        <v>19</v>
      </c>
      <c r="M46">
        <v>6.17</v>
      </c>
      <c r="N46">
        <v>50.052999999999997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4998-7F03-4E28-8CF3-37645FE0FC77}">
  <dimension ref="A1:E18"/>
  <sheetViews>
    <sheetView workbookViewId="0">
      <selection activeCell="P17" sqref="P17"/>
    </sheetView>
  </sheetViews>
  <sheetFormatPr defaultColWidth="8.85546875" defaultRowHeight="15" x14ac:dyDescent="0.25"/>
  <cols>
    <col min="1" max="1" width="33.42578125" customWidth="1"/>
    <col min="2" max="2" width="17.28515625" customWidth="1"/>
    <col min="3" max="3" width="17.140625" customWidth="1"/>
    <col min="4" max="4" width="10.85546875" customWidth="1"/>
  </cols>
  <sheetData>
    <row r="1" spans="1:5" x14ac:dyDescent="0.25">
      <c r="A1" t="s">
        <v>6</v>
      </c>
      <c r="B1" t="s">
        <v>52</v>
      </c>
      <c r="C1" t="s">
        <v>51</v>
      </c>
      <c r="D1" t="s">
        <v>50</v>
      </c>
      <c r="E1" t="s">
        <v>49</v>
      </c>
    </row>
    <row r="2" spans="1:5" x14ac:dyDescent="0.25">
      <c r="A2" t="s">
        <v>48</v>
      </c>
      <c r="B2">
        <v>0</v>
      </c>
      <c r="C2">
        <v>4.46</v>
      </c>
    </row>
    <row r="3" spans="1:5" x14ac:dyDescent="0.25">
      <c r="A3" t="s">
        <v>48</v>
      </c>
      <c r="B3">
        <v>0</v>
      </c>
      <c r="C3">
        <v>4.67</v>
      </c>
      <c r="D3" s="3">
        <f>AVERAGE(C2:C3)</f>
        <v>4.5649999999999995</v>
      </c>
      <c r="E3" s="2">
        <f>(ABS(C2-C3)/D3)*100</f>
        <v>4.6002190580503832</v>
      </c>
    </row>
    <row r="4" spans="1:5" x14ac:dyDescent="0.25">
      <c r="A4" t="s">
        <v>47</v>
      </c>
      <c r="B4">
        <v>0.4</v>
      </c>
      <c r="C4">
        <v>10.44</v>
      </c>
    </row>
    <row r="5" spans="1:5" x14ac:dyDescent="0.25">
      <c r="A5" t="s">
        <v>47</v>
      </c>
      <c r="B5">
        <v>0.4</v>
      </c>
      <c r="C5">
        <v>10.41</v>
      </c>
      <c r="D5" s="3">
        <f>AVERAGE(C4:C5)</f>
        <v>10.425000000000001</v>
      </c>
      <c r="E5" s="2">
        <f>(ABS(C4-C5)/D5)*100</f>
        <v>0.2877697841726557</v>
      </c>
    </row>
    <row r="6" spans="1:5" x14ac:dyDescent="0.25">
      <c r="A6" t="s">
        <v>46</v>
      </c>
      <c r="B6">
        <v>1</v>
      </c>
      <c r="C6">
        <v>20.309999999999999</v>
      </c>
    </row>
    <row r="7" spans="1:5" x14ac:dyDescent="0.25">
      <c r="A7" t="s">
        <v>46</v>
      </c>
      <c r="B7">
        <v>1</v>
      </c>
      <c r="C7">
        <v>19.420000000000002</v>
      </c>
      <c r="D7" s="3">
        <f>AVERAGE(C6:C7)</f>
        <v>19.865000000000002</v>
      </c>
      <c r="E7" s="2">
        <f>(ABS(C6-C7)/D7)*100</f>
        <v>4.4802416310092976</v>
      </c>
    </row>
    <row r="8" spans="1:5" x14ac:dyDescent="0.25">
      <c r="A8" t="s">
        <v>45</v>
      </c>
      <c r="B8">
        <v>2</v>
      </c>
      <c r="C8">
        <v>35.1</v>
      </c>
    </row>
    <row r="9" spans="1:5" x14ac:dyDescent="0.25">
      <c r="A9" t="s">
        <v>45</v>
      </c>
      <c r="B9">
        <v>2</v>
      </c>
      <c r="C9">
        <v>34.74</v>
      </c>
      <c r="D9" s="3">
        <f>AVERAGE(C8:C9)</f>
        <v>34.92</v>
      </c>
      <c r="E9" s="2">
        <f>(ABS(C8-C9)/D9)*100</f>
        <v>1.0309278350515447</v>
      </c>
    </row>
    <row r="10" spans="1:5" x14ac:dyDescent="0.25">
      <c r="A10" t="s">
        <v>44</v>
      </c>
      <c r="B10">
        <v>5</v>
      </c>
      <c r="C10">
        <v>80.88</v>
      </c>
    </row>
    <row r="11" spans="1:5" x14ac:dyDescent="0.25">
      <c r="A11" t="s">
        <v>44</v>
      </c>
      <c r="B11">
        <v>5</v>
      </c>
      <c r="C11">
        <v>81.77</v>
      </c>
      <c r="D11" s="3">
        <f>AVERAGE(C10:C11)</f>
        <v>81.324999999999989</v>
      </c>
      <c r="E11" s="2">
        <f>(ABS(C10-C11)/D11)*100</f>
        <v>1.0943744236089772</v>
      </c>
    </row>
    <row r="12" spans="1:5" x14ac:dyDescent="0.25">
      <c r="A12" t="s">
        <v>43</v>
      </c>
      <c r="B12">
        <v>10</v>
      </c>
      <c r="C12">
        <v>159.12</v>
      </c>
    </row>
    <row r="13" spans="1:5" x14ac:dyDescent="0.25">
      <c r="A13" t="s">
        <v>43</v>
      </c>
      <c r="B13">
        <v>10</v>
      </c>
      <c r="C13">
        <v>162.29</v>
      </c>
      <c r="D13" s="3">
        <f>AVERAGE(C12:C13)</f>
        <v>160.70499999999998</v>
      </c>
      <c r="E13" s="2">
        <f>(ABS(C12-C13)/D13)*100</f>
        <v>1.9725584144861628</v>
      </c>
    </row>
    <row r="14" spans="1:5" x14ac:dyDescent="0.25">
      <c r="A14" t="s">
        <v>42</v>
      </c>
      <c r="B14">
        <v>20</v>
      </c>
      <c r="C14">
        <v>298.64999999999998</v>
      </c>
    </row>
    <row r="15" spans="1:5" x14ac:dyDescent="0.25">
      <c r="A15" t="s">
        <v>42</v>
      </c>
      <c r="B15">
        <v>20</v>
      </c>
      <c r="C15">
        <v>310.31</v>
      </c>
      <c r="D15" s="3">
        <f>AVERAGE(C14:C15)</f>
        <v>304.48</v>
      </c>
      <c r="E15" s="2">
        <f>(ABS(C14-C15)/D15)*100</f>
        <v>3.8294797687861348</v>
      </c>
    </row>
    <row r="18" spans="1:1" x14ac:dyDescent="0.25">
      <c r="A18" t="s">
        <v>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5C6C-DB6C-44AB-B720-5F79D93DBBAE}">
  <dimension ref="A1:L18"/>
  <sheetViews>
    <sheetView workbookViewId="0">
      <selection activeCell="E12" sqref="E12"/>
    </sheetView>
  </sheetViews>
  <sheetFormatPr defaultColWidth="8.85546875" defaultRowHeight="15" x14ac:dyDescent="0.25"/>
  <cols>
    <col min="1" max="1" width="9.85546875" style="4" bestFit="1" customWidth="1"/>
    <col min="2" max="2" width="8.85546875" style="4"/>
    <col min="3" max="3" width="12" style="4" bestFit="1" customWidth="1"/>
    <col min="4" max="6" width="8.85546875" style="4"/>
    <col min="7" max="7" width="15.85546875" style="4" bestFit="1" customWidth="1"/>
    <col min="8" max="16384" width="8.85546875" style="4"/>
  </cols>
  <sheetData>
    <row r="1" spans="1:12" x14ac:dyDescent="0.25">
      <c r="A1" s="4" t="s">
        <v>6</v>
      </c>
      <c r="B1" s="6" t="s">
        <v>60</v>
      </c>
      <c r="C1" s="2" t="s">
        <v>59</v>
      </c>
      <c r="D1" s="2" t="s">
        <v>58</v>
      </c>
      <c r="E1" s="4" t="s">
        <v>49</v>
      </c>
    </row>
    <row r="2" spans="1:12" x14ac:dyDescent="0.25">
      <c r="A2" s="4" t="s">
        <v>57</v>
      </c>
      <c r="B2">
        <v>0.21959999999999999</v>
      </c>
    </row>
    <row r="3" spans="1:12" x14ac:dyDescent="0.25">
      <c r="A3" s="4" t="s">
        <v>57</v>
      </c>
      <c r="B3">
        <v>0.21360000000000001</v>
      </c>
      <c r="C3" s="2">
        <f>AVERAGE(B2:B3)</f>
        <v>0.21660000000000001</v>
      </c>
      <c r="D3" s="2">
        <f>C3/0.2*100</f>
        <v>108.3</v>
      </c>
      <c r="E3" s="2">
        <f>ABS(B2-B3)/C3*100</f>
        <v>2.7700831024930643</v>
      </c>
      <c r="G3" s="4" t="s">
        <v>56</v>
      </c>
    </row>
    <row r="4" spans="1:12" x14ac:dyDescent="0.25">
      <c r="A4" s="4" t="s">
        <v>55</v>
      </c>
      <c r="B4">
        <v>15.327</v>
      </c>
    </row>
    <row r="5" spans="1:12" ht="14.1" customHeight="1" x14ac:dyDescent="0.25">
      <c r="A5" s="4" t="s">
        <v>55</v>
      </c>
      <c r="B5">
        <v>15.798400000000001</v>
      </c>
      <c r="C5" s="2">
        <f>AVERAGE(B4:B5)</f>
        <v>15.5627</v>
      </c>
      <c r="D5" s="2">
        <f>C5/18*100</f>
        <v>86.459444444444443</v>
      </c>
      <c r="E5" s="2">
        <f>ABS(B4-B5)/C5*100</f>
        <v>3.0290373778329016</v>
      </c>
      <c r="G5" s="4" t="s">
        <v>54</v>
      </c>
    </row>
    <row r="6" spans="1:12" ht="14.1" customHeight="1" x14ac:dyDescent="0.25">
      <c r="A6" s="4" t="s">
        <v>53</v>
      </c>
      <c r="B6">
        <v>9.5548000000000002</v>
      </c>
    </row>
    <row r="7" spans="1:12" ht="14.1" customHeight="1" x14ac:dyDescent="0.25">
      <c r="A7" s="4" t="s">
        <v>53</v>
      </c>
      <c r="B7">
        <v>9.7606000000000002</v>
      </c>
      <c r="C7" s="2">
        <f>AVERAGE(B6:B7)</f>
        <v>9.6577000000000002</v>
      </c>
      <c r="D7" s="2">
        <f>C7/10*100</f>
        <v>96.576999999999998</v>
      </c>
      <c r="E7" s="2">
        <f>ABS(B6-B7)/C7*100</f>
        <v>2.1309421497872161</v>
      </c>
      <c r="L7"/>
    </row>
    <row r="8" spans="1:12" x14ac:dyDescent="0.25">
      <c r="A8" s="4" t="s">
        <v>39</v>
      </c>
      <c r="B8">
        <v>10.4689</v>
      </c>
      <c r="D8" s="2"/>
      <c r="L8"/>
    </row>
    <row r="9" spans="1:12" x14ac:dyDescent="0.25">
      <c r="A9" s="4" t="s">
        <v>39</v>
      </c>
      <c r="B9">
        <v>10.6625</v>
      </c>
      <c r="C9" s="2">
        <f>AVERAGE(B8:B9)</f>
        <v>10.5657</v>
      </c>
      <c r="D9" s="2">
        <f>C9/10*100</f>
        <v>105.657</v>
      </c>
      <c r="E9" s="2">
        <f>ABS(B8-B9)/C9*100</f>
        <v>1.8323442838619304</v>
      </c>
      <c r="L9"/>
    </row>
    <row r="11" spans="1:12" x14ac:dyDescent="0.25">
      <c r="A11" s="4" t="s">
        <v>30</v>
      </c>
      <c r="B11">
        <v>4.6199999999999998E-2</v>
      </c>
    </row>
    <row r="12" spans="1:12" x14ac:dyDescent="0.25">
      <c r="A12" s="4" t="s">
        <v>30</v>
      </c>
      <c r="B12">
        <v>2.8E-3</v>
      </c>
    </row>
    <row r="13" spans="1:12" x14ac:dyDescent="0.25">
      <c r="A13" s="4" t="s">
        <v>34</v>
      </c>
      <c r="B13">
        <v>3.3300000000000003E-2</v>
      </c>
    </row>
    <row r="14" spans="1:12" x14ac:dyDescent="0.25">
      <c r="A14" s="4" t="s">
        <v>34</v>
      </c>
      <c r="B14">
        <v>1.26E-2</v>
      </c>
    </row>
    <row r="15" spans="1:12" x14ac:dyDescent="0.25">
      <c r="A15" s="4" t="s">
        <v>40</v>
      </c>
      <c r="B15">
        <v>0.41860000000000003</v>
      </c>
    </row>
    <row r="16" spans="1:12" x14ac:dyDescent="0.25">
      <c r="A16" s="4" t="s">
        <v>40</v>
      </c>
      <c r="B16">
        <v>0.42959999999999998</v>
      </c>
    </row>
    <row r="18" spans="1:2" x14ac:dyDescent="0.25">
      <c r="A18" s="5" t="s">
        <v>50</v>
      </c>
      <c r="B18" s="5">
        <f>AVERAGE(B11:B16)</f>
        <v>0.15718333333333334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D31C-E564-477F-A934-150509FB8317}">
  <dimension ref="A1:F9"/>
  <sheetViews>
    <sheetView workbookViewId="0">
      <pane ySplit="1" topLeftCell="A2" activePane="bottomLeft" state="frozen"/>
      <selection activeCell="L27" sqref="L27"/>
      <selection pane="bottomLeft" activeCell="L23" sqref="L23"/>
    </sheetView>
  </sheetViews>
  <sheetFormatPr defaultColWidth="9.140625" defaultRowHeight="15" x14ac:dyDescent="0.25"/>
  <cols>
    <col min="1" max="1" width="13.85546875" style="7" bestFit="1" customWidth="1"/>
    <col min="2" max="2" width="8.28515625" style="2" customWidth="1"/>
    <col min="3" max="3" width="12" style="4" bestFit="1" customWidth="1"/>
    <col min="4" max="4" width="6.5703125" style="4" bestFit="1" customWidth="1"/>
    <col min="5" max="5" width="9.140625" style="4"/>
    <col min="6" max="6" width="9.42578125" style="2" bestFit="1" customWidth="1"/>
    <col min="7" max="7" width="11" style="4" bestFit="1" customWidth="1"/>
    <col min="8" max="16384" width="9.140625" style="4"/>
  </cols>
  <sheetData>
    <row r="1" spans="1:6" x14ac:dyDescent="0.25">
      <c r="A1" s="7" t="s">
        <v>6</v>
      </c>
      <c r="B1" s="2" t="s">
        <v>60</v>
      </c>
      <c r="C1" s="4" t="s">
        <v>59</v>
      </c>
      <c r="D1" s="4" t="s">
        <v>49</v>
      </c>
      <c r="F1" s="4" t="s">
        <v>61</v>
      </c>
    </row>
    <row r="2" spans="1:6" x14ac:dyDescent="0.25">
      <c r="A2" t="s">
        <v>35</v>
      </c>
      <c r="B2">
        <v>0.17519999999999999</v>
      </c>
      <c r="F2" s="4"/>
    </row>
    <row r="3" spans="1:6" x14ac:dyDescent="0.25">
      <c r="A3" t="s">
        <v>35</v>
      </c>
      <c r="B3">
        <v>0.158</v>
      </c>
      <c r="C3" s="2">
        <f>AVERAGE(B2:B3)</f>
        <v>0.1666</v>
      </c>
      <c r="D3" s="2">
        <f>(ABS(B3-B2)/C3)*100</f>
        <v>10.324129651860741</v>
      </c>
      <c r="F3" s="2">
        <f>C3*83.26</f>
        <v>13.871116000000001</v>
      </c>
    </row>
    <row r="4" spans="1:6" x14ac:dyDescent="0.25">
      <c r="A4" t="s">
        <v>36</v>
      </c>
      <c r="B4">
        <v>2.7227000000000001</v>
      </c>
    </row>
    <row r="5" spans="1:6" x14ac:dyDescent="0.25">
      <c r="A5" t="s">
        <v>36</v>
      </c>
      <c r="B5">
        <v>2.6915</v>
      </c>
      <c r="C5" s="2">
        <f>AVERAGE(B4:B5)</f>
        <v>2.7071000000000001</v>
      </c>
      <c r="D5" s="2">
        <f>(ABS(B5-B4)/C5)*100</f>
        <v>1.152524842081937</v>
      </c>
      <c r="F5" s="2">
        <f>C5*83.26</f>
        <v>225.39314600000003</v>
      </c>
    </row>
    <row r="6" spans="1:6" x14ac:dyDescent="0.25">
      <c r="A6" t="s">
        <v>37</v>
      </c>
      <c r="B6">
        <v>12.0566</v>
      </c>
    </row>
    <row r="7" spans="1:6" x14ac:dyDescent="0.25">
      <c r="A7" t="s">
        <v>37</v>
      </c>
      <c r="B7">
        <v>12.5182</v>
      </c>
      <c r="C7" s="2">
        <f>AVERAGE(B6:B7)</f>
        <v>12.2874</v>
      </c>
      <c r="D7" s="2">
        <f>(ABS(B7-B6)/C7)*100</f>
        <v>3.7566938489835175</v>
      </c>
      <c r="F7" s="2">
        <f>C7*83.26</f>
        <v>1023.0489240000001</v>
      </c>
    </row>
    <row r="8" spans="1:6" x14ac:dyDescent="0.25">
      <c r="A8" s="24" t="s">
        <v>38</v>
      </c>
      <c r="B8" s="24">
        <v>40.713799999999999</v>
      </c>
      <c r="C8" s="24"/>
      <c r="D8" s="24"/>
      <c r="E8" s="24"/>
      <c r="F8" s="25"/>
    </row>
    <row r="9" spans="1:6" x14ac:dyDescent="0.25">
      <c r="A9" s="24" t="s">
        <v>38</v>
      </c>
      <c r="B9" s="24">
        <v>47.602600000000002</v>
      </c>
      <c r="C9" s="25">
        <f>AVERAGE(B8:B9)</f>
        <v>44.158200000000001</v>
      </c>
      <c r="D9" s="25">
        <f>(ABS(B9-B8)/C9)*100</f>
        <v>15.600273561875264</v>
      </c>
      <c r="E9" s="24"/>
      <c r="F9" s="25">
        <f>C9*83.26</f>
        <v>3676.6117320000003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9BE5-AAA8-41C7-8F9E-3FDF54688CDB}">
  <dimension ref="A1:B70"/>
  <sheetViews>
    <sheetView workbookViewId="0">
      <selection activeCell="A5" sqref="A5"/>
    </sheetView>
  </sheetViews>
  <sheetFormatPr defaultColWidth="8.85546875" defaultRowHeight="15" x14ac:dyDescent="0.25"/>
  <cols>
    <col min="1" max="1" width="12" style="4" bestFit="1" customWidth="1"/>
    <col min="2" max="2" width="9.42578125" style="2" bestFit="1" customWidth="1"/>
  </cols>
  <sheetData>
    <row r="1" spans="1:2" x14ac:dyDescent="0.25">
      <c r="A1" s="4" t="s">
        <v>6</v>
      </c>
      <c r="B1" s="4" t="s">
        <v>61</v>
      </c>
    </row>
    <row r="2" spans="1:2" s="2" customFormat="1" x14ac:dyDescent="0.25">
      <c r="A2" t="s">
        <v>35</v>
      </c>
      <c r="B2" s="2">
        <v>13.871116000000001</v>
      </c>
    </row>
    <row r="3" spans="1:2" x14ac:dyDescent="0.25">
      <c r="A3" t="s">
        <v>36</v>
      </c>
      <c r="B3" s="2">
        <v>225.39314600000003</v>
      </c>
    </row>
    <row r="4" spans="1:2" x14ac:dyDescent="0.25">
      <c r="A4" t="s">
        <v>37</v>
      </c>
      <c r="B4" s="2">
        <v>1023.0489240000001</v>
      </c>
    </row>
    <row r="5" spans="1:2" x14ac:dyDescent="0.25">
      <c r="A5" s="24" t="s">
        <v>38</v>
      </c>
      <c r="B5" s="25">
        <v>3676.6117320000003</v>
      </c>
    </row>
    <row r="6" spans="1:2" x14ac:dyDescent="0.25">
      <c r="A6"/>
    </row>
    <row r="7" spans="1:2" x14ac:dyDescent="0.25">
      <c r="A7"/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02EE-AFC9-4AFF-8F80-53D6E71060EB}">
  <dimension ref="B1:F28"/>
  <sheetViews>
    <sheetView workbookViewId="0">
      <selection activeCell="J11" sqref="J11"/>
    </sheetView>
  </sheetViews>
  <sheetFormatPr defaultColWidth="8.85546875" defaultRowHeight="15" x14ac:dyDescent="0.25"/>
  <cols>
    <col min="2" max="2" width="20.42578125" customWidth="1"/>
    <col min="3" max="3" width="20.7109375" bestFit="1" customWidth="1"/>
    <col min="4" max="4" width="20.85546875" customWidth="1"/>
    <col min="5" max="5" width="21.5703125" customWidth="1"/>
    <col min="6" max="6" width="25" bestFit="1" customWidth="1"/>
  </cols>
  <sheetData>
    <row r="1" spans="2:6" x14ac:dyDescent="0.25">
      <c r="B1" s="28" t="s">
        <v>82</v>
      </c>
      <c r="C1" s="28"/>
      <c r="D1" s="28"/>
      <c r="E1" s="28"/>
      <c r="F1" s="28"/>
    </row>
    <row r="2" spans="2:6" x14ac:dyDescent="0.25">
      <c r="B2" s="28" t="s">
        <v>81</v>
      </c>
      <c r="C2" s="28"/>
      <c r="D2" s="28"/>
      <c r="E2" s="28"/>
      <c r="F2" s="28"/>
    </row>
    <row r="3" spans="2:6" x14ac:dyDescent="0.25">
      <c r="B3" s="28" t="s">
        <v>80</v>
      </c>
      <c r="C3" s="28"/>
      <c r="D3" s="28"/>
      <c r="E3" s="28"/>
      <c r="F3" s="28"/>
    </row>
    <row r="4" spans="2:6" x14ac:dyDescent="0.25">
      <c r="C4" s="24"/>
    </row>
    <row r="5" spans="2:6" x14ac:dyDescent="0.25">
      <c r="B5" s="23" t="s">
        <v>79</v>
      </c>
      <c r="C5" s="14" t="s">
        <v>65</v>
      </c>
      <c r="D5" s="14"/>
      <c r="E5" s="29" t="s">
        <v>78</v>
      </c>
      <c r="F5" s="30"/>
    </row>
    <row r="6" spans="2:6" x14ac:dyDescent="0.25">
      <c r="B6" s="23" t="s">
        <v>77</v>
      </c>
      <c r="C6" s="31">
        <v>45638</v>
      </c>
      <c r="D6" s="32"/>
      <c r="E6" s="22" t="s">
        <v>76</v>
      </c>
      <c r="F6" s="14" t="s">
        <v>75</v>
      </c>
    </row>
    <row r="7" spans="2:6" x14ac:dyDescent="0.25">
      <c r="B7" s="21"/>
      <c r="C7" s="21"/>
      <c r="D7" s="21"/>
      <c r="E7" s="21"/>
      <c r="F7" s="21"/>
    </row>
    <row r="8" spans="2:6" ht="45" x14ac:dyDescent="0.25">
      <c r="B8" s="20" t="s">
        <v>74</v>
      </c>
      <c r="C8" s="20" t="s">
        <v>73</v>
      </c>
      <c r="D8" s="20" t="s">
        <v>72</v>
      </c>
      <c r="E8" s="20" t="s">
        <v>71</v>
      </c>
      <c r="F8" s="20" t="s">
        <v>70</v>
      </c>
    </row>
    <row r="9" spans="2:6" ht="30" x14ac:dyDescent="0.25">
      <c r="B9" s="27" t="s">
        <v>84</v>
      </c>
      <c r="C9" s="19" t="s">
        <v>83</v>
      </c>
      <c r="D9" s="27" t="s">
        <v>38</v>
      </c>
      <c r="E9" s="26" t="s">
        <v>69</v>
      </c>
      <c r="F9" s="13" t="s">
        <v>67</v>
      </c>
    </row>
    <row r="10" spans="2:6" x14ac:dyDescent="0.25">
      <c r="B10" s="17"/>
      <c r="C10" s="18"/>
      <c r="D10" s="16"/>
      <c r="E10" s="17"/>
      <c r="F10" s="14"/>
    </row>
    <row r="11" spans="2:6" x14ac:dyDescent="0.25">
      <c r="B11" s="17"/>
      <c r="C11" s="18"/>
      <c r="D11" s="17"/>
      <c r="E11" s="17"/>
      <c r="F11" s="17"/>
    </row>
    <row r="12" spans="2:6" x14ac:dyDescent="0.25">
      <c r="B12" s="14"/>
      <c r="C12" s="14"/>
      <c r="D12" s="14"/>
      <c r="E12" s="14"/>
      <c r="F12" s="14"/>
    </row>
    <row r="13" spans="2:6" x14ac:dyDescent="0.25">
      <c r="B13" s="14"/>
      <c r="C13" s="14"/>
      <c r="D13" s="14"/>
      <c r="E13" s="14"/>
      <c r="F13" s="17"/>
    </row>
    <row r="14" spans="2:6" x14ac:dyDescent="0.25">
      <c r="B14" s="14"/>
      <c r="C14" s="14"/>
      <c r="D14" s="14"/>
      <c r="E14" s="14"/>
      <c r="F14" s="16"/>
    </row>
    <row r="15" spans="2:6" x14ac:dyDescent="0.25">
      <c r="B15" s="14"/>
      <c r="C15" s="14"/>
      <c r="D15" s="14"/>
      <c r="E15" s="14"/>
      <c r="F15" s="14"/>
    </row>
    <row r="16" spans="2:6" x14ac:dyDescent="0.25">
      <c r="B16" s="14"/>
      <c r="C16" s="14"/>
      <c r="D16" s="14"/>
      <c r="E16" s="14"/>
      <c r="F16" s="14"/>
    </row>
    <row r="17" spans="2:6" x14ac:dyDescent="0.25">
      <c r="B17" s="14"/>
      <c r="C17" s="14"/>
      <c r="D17" s="14"/>
      <c r="E17" s="14"/>
      <c r="F17" s="14"/>
    </row>
    <row r="18" spans="2:6" x14ac:dyDescent="0.25">
      <c r="B18" s="14"/>
      <c r="C18" s="14"/>
      <c r="D18" s="14"/>
      <c r="E18" s="14"/>
      <c r="F18" s="14"/>
    </row>
    <row r="19" spans="2:6" x14ac:dyDescent="0.25">
      <c r="B19" s="14"/>
      <c r="C19" s="14"/>
      <c r="D19" s="14"/>
      <c r="E19" s="14"/>
      <c r="F19" s="14"/>
    </row>
    <row r="20" spans="2:6" x14ac:dyDescent="0.25">
      <c r="B20" s="14"/>
      <c r="C20" s="14"/>
      <c r="D20" s="14"/>
      <c r="E20" s="14"/>
      <c r="F20" s="14"/>
    </row>
    <row r="21" spans="2:6" ht="30" x14ac:dyDescent="0.25">
      <c r="B21" s="14"/>
      <c r="C21" s="14"/>
      <c r="D21" s="14"/>
      <c r="E21" s="14"/>
      <c r="F21" s="15" t="s">
        <v>68</v>
      </c>
    </row>
    <row r="22" spans="2:6" ht="30" x14ac:dyDescent="0.25">
      <c r="B22" s="14"/>
      <c r="C22" s="14"/>
      <c r="D22" s="14"/>
      <c r="E22" s="14"/>
      <c r="F22" s="13" t="s">
        <v>67</v>
      </c>
    </row>
    <row r="24" spans="2:6" ht="15.75" thickBot="1" x14ac:dyDescent="0.3">
      <c r="B24" s="12" t="s">
        <v>66</v>
      </c>
      <c r="C24" s="10" t="s">
        <v>65</v>
      </c>
      <c r="D24" s="10"/>
      <c r="F24" s="11">
        <v>45646</v>
      </c>
    </row>
    <row r="25" spans="2:6" x14ac:dyDescent="0.25">
      <c r="C25" s="8" t="s">
        <v>64</v>
      </c>
      <c r="F25" s="8" t="s">
        <v>62</v>
      </c>
    </row>
    <row r="27" spans="2:6" ht="15.75" thickBot="1" x14ac:dyDescent="0.3">
      <c r="C27" s="10"/>
      <c r="D27" s="10"/>
      <c r="F27" s="10"/>
    </row>
    <row r="28" spans="2:6" x14ac:dyDescent="0.25">
      <c r="C28" s="9" t="s">
        <v>63</v>
      </c>
      <c r="D28" s="9"/>
      <c r="F28" s="8" t="s">
        <v>62</v>
      </c>
    </row>
  </sheetData>
  <mergeCells count="5">
    <mergeCell ref="B1:F1"/>
    <mergeCell ref="B2:F2"/>
    <mergeCell ref="B3:F3"/>
    <mergeCell ref="E5:F5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MG241212_CB Samples DOC</vt:lpstr>
      <vt:lpstr>Calibration</vt:lpstr>
      <vt:lpstr>QC</vt:lpstr>
      <vt:lpstr>Samples</vt:lpstr>
      <vt:lpstr>Reported Results</vt:lpstr>
      <vt:lpstr>C.A.L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 Glinski</cp:lastModifiedBy>
  <dcterms:created xsi:type="dcterms:W3CDTF">2024-12-20T20:38:22Z</dcterms:created>
  <dcterms:modified xsi:type="dcterms:W3CDTF">2025-01-24T16:11:52Z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