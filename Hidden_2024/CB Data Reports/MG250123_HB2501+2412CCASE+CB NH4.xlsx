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Incomplete/"/>
    </mc:Choice>
  </mc:AlternateContent>
  <xr:revisionPtr revIDLastSave="41" documentId="8_{03D2EA03-80E4-49A3-B9A6-5C85ED849C08}" xr6:coauthVersionLast="47" xr6:coauthVersionMax="47" xr10:uidLastSave="{DE5B8AEA-2038-4BD0-B003-12396B5EE9C4}"/>
  <bookViews>
    <workbookView xWindow="-120" yWindow="-120" windowWidth="29040" windowHeight="15840" activeTab="3" xr2:uid="{49F02CB5-D855-49AB-8FC5-12A9E5953800}"/>
  </bookViews>
  <sheets>
    <sheet name="MG250123_HB2501+2412CCASE+CB Am" sheetId="1" r:id="rId1"/>
    <sheet name="Calibration" sheetId="2" r:id="rId2"/>
    <sheet name="QC" sheetId="3" r:id="rId3"/>
    <sheet name="Reported Results" sheetId="4" r:id="rId4"/>
    <sheet name="C.A.L." sheetId="5" r:id="rId5"/>
  </sheets>
  <calcPr calcId="0" refMode="R1C1"/>
</workbook>
</file>

<file path=xl/calcChain.xml><?xml version="1.0" encoding="utf-8"?>
<calcChain xmlns="http://schemas.openxmlformats.org/spreadsheetml/2006/main">
  <c r="C2" i="4" l="1"/>
  <c r="B21" i="3"/>
  <c r="C2" i="3"/>
  <c r="C3" i="3"/>
  <c r="C4" i="3"/>
  <c r="C5" i="3"/>
  <c r="C6" i="3"/>
  <c r="C7" i="3"/>
  <c r="C8" i="3"/>
  <c r="C9" i="3"/>
  <c r="C10" i="3"/>
  <c r="C11" i="3"/>
  <c r="D2" i="2"/>
  <c r="D3" i="2"/>
  <c r="D4" i="2"/>
  <c r="D5" i="2"/>
  <c r="D6" i="2"/>
</calcChain>
</file>

<file path=xl/sharedStrings.xml><?xml version="1.0" encoding="utf-8"?>
<sst xmlns="http://schemas.openxmlformats.org/spreadsheetml/2006/main" count="365" uniqueCount="167">
  <si>
    <t>ANAL</t>
  </si>
  <si>
    <t>Ammonia Std1.ANL</t>
  </si>
  <si>
    <t xml:space="preserve">RUN </t>
  </si>
  <si>
    <t>MG250123_HB2501+2412CCASE+CBR1.RUN</t>
  </si>
  <si>
    <t>DATE</t>
  </si>
  <si>
    <t>1/23/2025</t>
  </si>
  <si>
    <t>TIME</t>
  </si>
  <si>
    <t>11:20:23 AM</t>
  </si>
  <si>
    <t>OPER</t>
  </si>
  <si>
    <t>COMM</t>
  </si>
  <si>
    <t>Recalculate from RunMG250123_HB2501+2412CCASE+CBR1</t>
  </si>
  <si>
    <t>TYPE</t>
  </si>
  <si>
    <t>Real</t>
  </si>
  <si>
    <t>CHAN</t>
  </si>
  <si>
    <t>METH</t>
  </si>
  <si>
    <t>Method 3</t>
  </si>
  <si>
    <t xml:space="preserve">Method 4 - </t>
  </si>
  <si>
    <t>UNIT</t>
  </si>
  <si>
    <t>µmol/L</t>
  </si>
  <si>
    <t>Base</t>
  </si>
  <si>
    <t>Gain</t>
  </si>
  <si>
    <t>FIT</t>
  </si>
  <si>
    <t>Q</t>
  </si>
  <si>
    <t>L</t>
  </si>
  <si>
    <t>COEFF</t>
  </si>
  <si>
    <t>Sample ID</t>
  </si>
  <si>
    <t>Peak Number</t>
  </si>
  <si>
    <t>Cup Number</t>
  </si>
  <si>
    <t>Cup Type</t>
  </si>
  <si>
    <t>Cup Group</t>
  </si>
  <si>
    <t>Calibrants 3</t>
  </si>
  <si>
    <t>Results 3</t>
  </si>
  <si>
    <t>AD Values</t>
  </si>
  <si>
    <t xml:space="preserve"> mAU</t>
  </si>
  <si>
    <t>Post Dilution</t>
  </si>
  <si>
    <t>Calibrants 4</t>
  </si>
  <si>
    <t>Results 4</t>
  </si>
  <si>
    <t>Primer</t>
  </si>
  <si>
    <t>PRIM</t>
  </si>
  <si>
    <t>Drift</t>
  </si>
  <si>
    <t>DRIF</t>
  </si>
  <si>
    <t>Blank</t>
  </si>
  <si>
    <t>SAMP</t>
  </si>
  <si>
    <t>MDL</t>
  </si>
  <si>
    <t>Cal.</t>
  </si>
  <si>
    <t>CALB</t>
  </si>
  <si>
    <t>icv</t>
  </si>
  <si>
    <t>icb</t>
  </si>
  <si>
    <t>QCS</t>
  </si>
  <si>
    <t>CCV1</t>
  </si>
  <si>
    <t>CCB1</t>
  </si>
  <si>
    <t>MWR N/S (1:20)</t>
  </si>
  <si>
    <t>CCASE 127</t>
  </si>
  <si>
    <t>128</t>
  </si>
  <si>
    <t>129</t>
  </si>
  <si>
    <t>130</t>
  </si>
  <si>
    <t>131</t>
  </si>
  <si>
    <t>132</t>
  </si>
  <si>
    <t>133</t>
  </si>
  <si>
    <t>134</t>
  </si>
  <si>
    <t>135</t>
  </si>
  <si>
    <t>CCV2</t>
  </si>
  <si>
    <t>CCB2</t>
  </si>
  <si>
    <t>136</t>
  </si>
  <si>
    <t>HB250101</t>
  </si>
  <si>
    <t>02</t>
  </si>
  <si>
    <t>03</t>
  </si>
  <si>
    <t>04</t>
  </si>
  <si>
    <t>05</t>
  </si>
  <si>
    <t>06</t>
  </si>
  <si>
    <t>07</t>
  </si>
  <si>
    <t>08-1</t>
  </si>
  <si>
    <t>08-2</t>
  </si>
  <si>
    <t>CCV3</t>
  </si>
  <si>
    <t>Baseline</t>
  </si>
  <si>
    <t>BASL</t>
  </si>
  <si>
    <t>CCB3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</si>
  <si>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</si>
  <si>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</si>
  <si>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</si>
  <si>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</si>
  <si>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</si>
  <si>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</si>
  <si>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</si>
  <si>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</si>
  <si>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</si>
  <si>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</si>
  <si>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CCV4</t>
  </si>
  <si>
    <t>CCB4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</si>
  <si>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</si>
  <si>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</si>
  <si>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</si>
  <si>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</si>
  <si>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</si>
  <si>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</si>
  <si>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</si>
  <si>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</si>
  <si>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</si>
  <si>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</si>
  <si>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CCV5</t>
  </si>
  <si>
    <t>CCB5</t>
  </si>
  <si>
    <t>30</t>
  </si>
  <si>
    <t>31</t>
  </si>
  <si>
    <t>32</t>
  </si>
  <si>
    <t>34</t>
  </si>
  <si>
    <t>35</t>
  </si>
  <si>
    <t>36</t>
  </si>
  <si>
    <t>37</t>
  </si>
  <si>
    <t>48</t>
  </si>
  <si>
    <t>49</t>
  </si>
  <si>
    <t>CCV6</t>
  </si>
  <si>
    <t>CCB6</t>
  </si>
  <si>
    <t>50-1</t>
  </si>
  <si>
    <t>50-2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</si>
  <si>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</si>
  <si>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</si>
  <si>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</si>
  <si>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</si>
  <si>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</si>
  <si>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</si>
  <si>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</si>
  <si>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</si>
  <si>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</si>
  <si>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63</t>
  </si>
  <si>
    <t>64</t>
  </si>
  <si>
    <t>65</t>
  </si>
  <si>
    <t>69</t>
  </si>
  <si>
    <t>70</t>
  </si>
  <si>
    <t>71</t>
  </si>
  <si>
    <t>CCV7</t>
  </si>
  <si>
    <t>CCB7</t>
  </si>
  <si>
    <t>End</t>
  </si>
  <si>
    <t xml:space="preserve">END </t>
  </si>
  <si>
    <t>NH4 AD Values</t>
  </si>
  <si>
    <t>%R</t>
  </si>
  <si>
    <t>Calculted Results</t>
  </si>
  <si>
    <t>Average</t>
  </si>
  <si>
    <t>ICV</t>
  </si>
  <si>
    <t>Results</t>
  </si>
  <si>
    <t>Date</t>
  </si>
  <si>
    <t>Project Investigator</t>
  </si>
  <si>
    <t>QA/Qc Reviewer</t>
  </si>
  <si>
    <t>Mike Glinski</t>
  </si>
  <si>
    <t>Reviewed by:</t>
  </si>
  <si>
    <t>Below Dection Limit: Retest</t>
  </si>
  <si>
    <t>Above Curve: Dilute and Retest</t>
  </si>
  <si>
    <t>1uMol/L&lt;Sample&lt;25uMol/L</t>
  </si>
  <si>
    <t>Lowest passing standard of 1uM will be detection limit</t>
  </si>
  <si>
    <t>%R 45-145</t>
  </si>
  <si>
    <t>Values 0.5uM-1uM</t>
  </si>
  <si>
    <t>MDL %R&lt;45</t>
  </si>
  <si>
    <t>Below Dection Limit: Values reported as "BDL"</t>
  </si>
  <si>
    <t>Highlighted in orange</t>
  </si>
  <si>
    <t>Below Lowest Passing Standard</t>
  </si>
  <si>
    <t>HB2412</t>
  </si>
  <si>
    <t>Corrective Action/Explanation</t>
  </si>
  <si>
    <t>Criteria Comparison</t>
  </si>
  <si>
    <t>Affected Samples</t>
  </si>
  <si>
    <t>Excursions</t>
  </si>
  <si>
    <t>Project Number(s)/Batch Numbers</t>
  </si>
  <si>
    <t>Method: NH4</t>
  </si>
  <si>
    <t>Date of Analysis:</t>
  </si>
  <si>
    <t>Instrument: NH4</t>
  </si>
  <si>
    <t>Analyst:</t>
  </si>
  <si>
    <t>Corrective Action Log</t>
  </si>
  <si>
    <t>CESE</t>
  </si>
  <si>
    <t>Attachment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</si>
</sst>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23" x14ac:knownFonts="1">
    <font>
      <sz val="11"/>
      <color indexed="8"/>
      <name val="Aptos Narro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10"/>
      <name val="Aptos Narrow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166" fontId="0" fillId="0" borderId="0" xfId="0" applyNumberFormat="1"/>
    <xf numFmtId="0" fontId="18" fillId="0" borderId="0" xfId="0" applyFont="1"/>
    <xf numFmtId="0" fontId="1" fillId="0" borderId="0" xfId="42"/>
    <xf numFmtId="0" fontId="1" fillId="0" borderId="0" xfId="42" applyAlignment="1">
      <alignment horizontal="right"/>
    </xf>
    <xf numFmtId="165" fontId="1" fillId="0" borderId="0" xfId="42" applyNumberFormat="1"/>
    <xf numFmtId="165" fontId="19" fillId="0" borderId="0" xfId="42" applyNumberFormat="1" applyFont="1"/>
    <xf numFmtId="0" fontId="1" fillId="33" borderId="0" xfId="42" applyFill="1"/>
    <xf numFmtId="0" fontId="19" fillId="0" borderId="0" xfId="42" applyFont="1"/>
    <xf numFmtId="2" fontId="19" fillId="0" borderId="0" xfId="42" applyNumberFormat="1" applyFont="1"/>
    <xf numFmtId="2" fontId="14" fillId="0" borderId="0" xfId="42" applyNumberFormat="1" applyFont="1"/>
    <xf numFmtId="0" fontId="14" fillId="0" borderId="0" xfId="42" applyFont="1"/>
    <xf numFmtId="165" fontId="19" fillId="0" borderId="0" xfId="42" applyNumberFormat="1" applyFont="1" applyAlignment="1">
      <alignment horizontal="center"/>
    </xf>
    <xf numFmtId="0" fontId="19" fillId="0" borderId="0" xfId="42" applyFont="1" applyAlignment="1">
      <alignment horizontal="center"/>
    </xf>
    <xf numFmtId="0" fontId="1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19" fillId="0" borderId="0" xfId="42" applyFont="1" applyAlignment="1">
      <alignment horizontal="center" vertical="center"/>
    </xf>
    <xf numFmtId="0" fontId="1" fillId="0" borderId="0" xfId="43"/>
    <xf numFmtId="0" fontId="1" fillId="0" borderId="0" xfId="43" applyAlignment="1">
      <alignment horizontal="center"/>
    </xf>
    <xf numFmtId="0" fontId="1" fillId="0" borderId="10" xfId="43" applyBorder="1" applyAlignment="1">
      <alignment horizontal="centerContinuous"/>
    </xf>
    <xf numFmtId="0" fontId="1" fillId="0" borderId="11" xfId="43" applyBorder="1"/>
    <xf numFmtId="0" fontId="1" fillId="0" borderId="0" xfId="43" applyAlignment="1">
      <alignment horizontal="centerContinuous"/>
    </xf>
    <xf numFmtId="14" fontId="1" fillId="0" borderId="11" xfId="43" applyNumberFormat="1" applyBorder="1"/>
    <xf numFmtId="0" fontId="1" fillId="0" borderId="0" xfId="43" applyAlignment="1">
      <alignment horizontal="right"/>
    </xf>
    <xf numFmtId="0" fontId="1" fillId="33" borderId="12" xfId="43" applyFill="1" applyBorder="1" applyAlignment="1">
      <alignment wrapText="1"/>
    </xf>
    <xf numFmtId="0" fontId="1" fillId="0" borderId="13" xfId="43" applyBorder="1"/>
    <xf numFmtId="0" fontId="1" fillId="0" borderId="14" xfId="43" applyBorder="1"/>
    <xf numFmtId="0" fontId="1" fillId="34" borderId="15" xfId="43" applyFill="1" applyBorder="1" applyAlignment="1">
      <alignment wrapText="1"/>
    </xf>
    <xf numFmtId="0" fontId="1" fillId="0" borderId="16" xfId="43" applyBorder="1"/>
    <xf numFmtId="0" fontId="1" fillId="0" borderId="17" xfId="43" applyBorder="1"/>
    <xf numFmtId="0" fontId="1" fillId="0" borderId="15" xfId="43" applyBorder="1"/>
    <xf numFmtId="0" fontId="1" fillId="0" borderId="15" xfId="43" applyBorder="1" applyAlignment="1">
      <alignment wrapText="1"/>
    </xf>
    <xf numFmtId="0" fontId="1" fillId="0" borderId="18" xfId="43" applyBorder="1" applyAlignment="1">
      <alignment horizontal="center" vertical="center" wrapText="1"/>
    </xf>
    <xf numFmtId="0" fontId="1" fillId="0" borderId="16" xfId="43" applyBorder="1" applyAlignment="1">
      <alignment horizontal="center" vertical="center"/>
    </xf>
    <xf numFmtId="0" fontId="1" fillId="0" borderId="17" xfId="43" applyBorder="1" applyAlignment="1">
      <alignment horizontal="center" vertical="center"/>
    </xf>
    <xf numFmtId="0" fontId="1" fillId="0" borderId="19" xfId="43" applyBorder="1" applyAlignment="1">
      <alignment horizontal="center" vertical="center" wrapText="1"/>
    </xf>
    <xf numFmtId="0" fontId="1" fillId="33" borderId="15" xfId="43" applyFill="1" applyBorder="1" applyAlignment="1">
      <alignment horizontal="center" vertical="center" wrapText="1"/>
    </xf>
    <xf numFmtId="0" fontId="1" fillId="0" borderId="20" xfId="43" applyBorder="1" applyAlignment="1">
      <alignment horizontal="center" vertical="center" wrapText="1"/>
    </xf>
    <xf numFmtId="0" fontId="1" fillId="0" borderId="21" xfId="43" applyBorder="1" applyAlignment="1">
      <alignment horizontal="center" vertical="center"/>
    </xf>
    <xf numFmtId="0" fontId="1" fillId="35" borderId="22" xfId="43" applyFill="1" applyBorder="1" applyAlignment="1">
      <alignment wrapText="1"/>
    </xf>
    <xf numFmtId="0" fontId="1" fillId="35" borderId="23" xfId="43" applyFill="1" applyBorder="1" applyAlignment="1">
      <alignment wrapText="1"/>
    </xf>
    <xf numFmtId="0" fontId="1" fillId="35" borderId="24" xfId="43" applyFill="1" applyBorder="1" applyAlignment="1">
      <alignment wrapText="1"/>
    </xf>
    <xf numFmtId="0" fontId="1" fillId="0" borderId="25" xfId="43" applyBorder="1"/>
    <xf numFmtId="0" fontId="20" fillId="0" borderId="16" xfId="43" applyFont="1" applyBorder="1"/>
    <xf numFmtId="14" fontId="1" fillId="0" borderId="16" xfId="43" applyNumberFormat="1" applyBorder="1"/>
    <xf numFmtId="0" fontId="1" fillId="0" borderId="26" xfId="43" applyBorder="1" applyAlignment="1">
      <alignment horizontal="left"/>
    </xf>
    <xf numFmtId="0" fontId="1" fillId="0" borderId="27" xfId="43" applyBorder="1" applyAlignment="1">
      <alignment horizontal="left"/>
    </xf>
    <xf numFmtId="0" fontId="21" fillId="0" borderId="0" xfId="43" applyFont="1" applyAlignment="1">
      <alignment horizontal="centerContinuous"/>
    </xf>
    <xf numFmtId="0" fontId="21" fillId="0" borderId="0" xfId="43" applyFont="1"/>
    <xf numFmtId="0" fontId="0" fillId="33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6021013-86E9-4CE4-B93A-8693A239A819}"/>
    <cellStyle name="Normal 2 2" xfId="43" xr:uid="{E156A206-5DF3-4974-86B7-5A28EB63A2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Calibration!$B$1</c:f>
              <c:strCache>
                <c:ptCount val="1"/>
                <c:pt idx="0">
                  <c:v>NH4 AD Values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05052493438321"/>
                  <c:y val="-2.02865266841644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Calibration!$A$2:$A$7</c:f>
              <c:numCache>
                <c:formatCode>General</c:formatCode>
                <c:ptCount val="6"/>
                <c:pt idx="0">
                  <c:v>25</c:v>
                </c:pt>
                <c:pt idx="1">
                  <c:v>12.5</c:v>
                </c:pt>
                <c:pt idx="2">
                  <c:v>5</c:v>
                </c:pt>
                <c:pt idx="3">
                  <c:v>2.5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Calibration!$B$2:$B$7</c:f>
              <c:numCache>
                <c:formatCode>General</c:formatCode>
                <c:ptCount val="6"/>
                <c:pt idx="0">
                  <c:v>58700</c:v>
                </c:pt>
                <c:pt idx="1">
                  <c:v>31681</c:v>
                </c:pt>
                <c:pt idx="2">
                  <c:v>13874</c:v>
                </c:pt>
                <c:pt idx="3">
                  <c:v>8356</c:v>
                </c:pt>
                <c:pt idx="4">
                  <c:v>4966</c:v>
                </c:pt>
                <c:pt idx="5">
                  <c:v>3680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63-4FB9-B4BA-C39C0FF11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61520"/>
        <c:axId val="327263488"/>
      </c:scatterChart>
      <c:valAx>
        <c:axId val="3272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3488"/>
        <c:crosses val="autoZero"/>
        <c:crossBetween val="midCat"/>
      </c:valAx>
      <c:valAx>
        <c:axId val="327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Calibration!$B$10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Calibration!$A$11:$A$16</c:f>
              <c:numCache>
                <c:formatCode>General</c:formatCode>
                <c:ptCount val="6"/>
                <c:pt idx="0">
                  <c:v>58700</c:v>
                </c:pt>
                <c:pt idx="1">
                  <c:v>31681</c:v>
                </c:pt>
                <c:pt idx="2">
                  <c:v>13874</c:v>
                </c:pt>
                <c:pt idx="3">
                  <c:v>8356</c:v>
                </c:pt>
                <c:pt idx="4">
                  <c:v>4966</c:v>
                </c:pt>
                <c:pt idx="5">
                  <c:v>3680</c:v>
                </c:pt>
              </c:numCache>
            </c:numRef>
          </c:xVal>
          <c:yVal>
            <c:numRef>
              <c:f>Calibration!$B$11:$B$16</c:f>
              <c:numCache>
                <c:formatCode>General</c:formatCode>
                <c:ptCount val="6"/>
                <c:pt idx="0">
                  <c:v>24.891999999999999</c:v>
                </c:pt>
                <c:pt idx="1">
                  <c:v>12.802</c:v>
                </c:pt>
                <c:pt idx="2">
                  <c:v>4.8330000000000002</c:v>
                </c:pt>
                <c:pt idx="3">
                  <c:v>2.3639999999999999</c:v>
                </c:pt>
                <c:pt idx="4">
                  <c:v>0.84699999999999998</c:v>
                </c:pt>
                <c:pt idx="5">
                  <c:v>0.27200000000000002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30-45C5-ADFF-02D967463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66672"/>
        <c:axId val="489372496"/>
      </c:scatterChart>
      <c:valAx>
        <c:axId val="48936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72496"/>
        <c:crosses val="autoZero"/>
        <c:crossBetween val="midCat"/>
      </c:valAx>
      <c:valAx>
        <c:axId val="4893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6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63500</xdr:rowOff>
    </xdr:from>
    <xdr:to>
      <xdr:col>11</xdr:col>
      <xdr:colOff>133350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EA39F-AC81-47B4-BAA3-9D42D61E9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231775</xdr:colOff>
      <xdr:row>6</xdr:row>
      <xdr:rowOff>4762</xdr:rowOff>
    </xdr:from>
    <xdr:to>
      <xdr:col>16</xdr:col>
      <xdr:colOff>536575</xdr:colOff>
      <xdr:row>20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B1598-E862-4465-849E-2AB2A701D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9DE7-1CFD-4198-801A-3EFBA0CFBD30}">
  <dimension ref="A2:Q115"/>
  <sheetViews>
    <sheetView topLeftCell="A94" workbookViewId="0">
      <selection activeCell="A99" activeCellId="6" sqref="A34:A43 A46:A55 A59:A68 A71:A80 A83:A91 A94:A97 A99:A111"/>
    </sheetView>
  </sheetViews>
  <sheetFormatPr defaultColWidth="8.7109375" defaultRowHeight="15" x14ac:dyDescent="0.25"/>
  <cols>
    <col min="1" max="1" width="14.5703125" bestFit="1" customWidth="1"/>
  </cols>
  <sheetData>
    <row r="2" spans="1:17" x14ac:dyDescent="0.25">
      <c r="A2" t="s">
        <v>0</v>
      </c>
      <c r="B2" t="s">
        <v>1</v>
      </c>
    </row>
    <row r="3" spans="1:17" x14ac:dyDescent="0.25">
      <c r="A3" t="s">
        <v>2</v>
      </c>
      <c r="B3" t="s">
        <v>3</v>
      </c>
    </row>
    <row r="4" spans="1:17" x14ac:dyDescent="0.25">
      <c r="A4" t="s">
        <v>4</v>
      </c>
      <c r="B4" t="s">
        <v>5</v>
      </c>
    </row>
    <row r="5" spans="1:17" x14ac:dyDescent="0.25">
      <c r="A5" t="s">
        <v>6</v>
      </c>
      <c r="B5" t="s">
        <v>7</v>
      </c>
    </row>
    <row r="6" spans="1:17" x14ac:dyDescent="0.25">
      <c r="A6" t="s">
        <v>8</v>
      </c>
    </row>
    <row r="7" spans="1:17" x14ac:dyDescent="0.25">
      <c r="A7" t="s">
        <v>9</v>
      </c>
      <c r="B7" t="s">
        <v>10</v>
      </c>
    </row>
    <row r="8" spans="1:17" x14ac:dyDescent="0.25">
      <c r="A8" t="s">
        <v>11</v>
      </c>
      <c r="I8" s="1" t="s">
        <v>12</v>
      </c>
      <c r="N8" s="1" t="s">
        <v>12</v>
      </c>
    </row>
    <row r="9" spans="1:17" x14ac:dyDescent="0.25">
      <c r="A9" t="s">
        <v>13</v>
      </c>
      <c r="I9">
        <v>3</v>
      </c>
      <c r="N9">
        <v>4</v>
      </c>
    </row>
    <row r="10" spans="1:17" x14ac:dyDescent="0.25">
      <c r="A10" t="s">
        <v>14</v>
      </c>
      <c r="I10" s="1" t="s">
        <v>15</v>
      </c>
      <c r="N10" s="1" t="s">
        <v>16</v>
      </c>
    </row>
    <row r="11" spans="1:17" x14ac:dyDescent="0.25">
      <c r="A11" t="s">
        <v>17</v>
      </c>
      <c r="N11" s="1" t="s">
        <v>18</v>
      </c>
    </row>
    <row r="12" spans="1:17" x14ac:dyDescent="0.25">
      <c r="A12" t="s">
        <v>19</v>
      </c>
      <c r="I12">
        <v>0</v>
      </c>
      <c r="N12">
        <v>-16778</v>
      </c>
    </row>
    <row r="13" spans="1:17" x14ac:dyDescent="0.25">
      <c r="A13" t="s">
        <v>20</v>
      </c>
      <c r="I13">
        <v>10</v>
      </c>
      <c r="N13">
        <v>87</v>
      </c>
    </row>
    <row r="14" spans="1:17" x14ac:dyDescent="0.25">
      <c r="A14" t="s">
        <v>21</v>
      </c>
      <c r="I14" s="1" t="s">
        <v>22</v>
      </c>
      <c r="N14" s="1" t="s">
        <v>23</v>
      </c>
    </row>
    <row r="15" spans="1:17" x14ac:dyDescent="0.25">
      <c r="A15" t="s">
        <v>24</v>
      </c>
      <c r="I15" s="2">
        <v>0</v>
      </c>
      <c r="N15" s="2">
        <v>0.99980000000000002</v>
      </c>
    </row>
    <row r="16" spans="1:17" x14ac:dyDescent="0.25">
      <c r="A16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 t="s">
        <v>34</v>
      </c>
      <c r="M16" s="1" t="s">
        <v>35</v>
      </c>
      <c r="N16" s="1" t="s">
        <v>36</v>
      </c>
      <c r="O16" s="1" t="s">
        <v>32</v>
      </c>
      <c r="P16" s="1" t="s">
        <v>33</v>
      </c>
      <c r="Q16" s="1" t="s">
        <v>34</v>
      </c>
    </row>
    <row r="17" spans="1:17" x14ac:dyDescent="0.25">
      <c r="A17" t="s">
        <v>37</v>
      </c>
      <c r="B17">
        <v>1</v>
      </c>
      <c r="C17">
        <v>1</v>
      </c>
      <c r="D17" t="s">
        <v>38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1</v>
      </c>
      <c r="N17">
        <v>22.893999999999998</v>
      </c>
      <c r="O17">
        <v>54234</v>
      </c>
      <c r="P17">
        <v>89.77</v>
      </c>
      <c r="Q17">
        <v>1</v>
      </c>
    </row>
    <row r="18" spans="1:17" x14ac:dyDescent="0.25">
      <c r="A18" t="s">
        <v>39</v>
      </c>
      <c r="B18">
        <v>2</v>
      </c>
      <c r="C18">
        <v>2</v>
      </c>
      <c r="D18" t="s">
        <v>40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1</v>
      </c>
      <c r="N18">
        <v>24.286999999999999</v>
      </c>
      <c r="O18">
        <v>57348</v>
      </c>
      <c r="P18">
        <v>95.23</v>
      </c>
      <c r="Q18">
        <v>1</v>
      </c>
    </row>
    <row r="19" spans="1:17" x14ac:dyDescent="0.25">
      <c r="A19" t="s">
        <v>41</v>
      </c>
      <c r="B19">
        <v>3</v>
      </c>
      <c r="C19">
        <v>3</v>
      </c>
      <c r="D19" t="s">
        <v>42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1</v>
      </c>
      <c r="N19">
        <v>0.19800000000000001</v>
      </c>
      <c r="O19">
        <v>3516</v>
      </c>
      <c r="P19">
        <v>0.82</v>
      </c>
      <c r="Q19">
        <v>1</v>
      </c>
    </row>
    <row r="20" spans="1:17" x14ac:dyDescent="0.25">
      <c r="A20" t="s">
        <v>41</v>
      </c>
      <c r="B20">
        <v>4</v>
      </c>
      <c r="C20">
        <v>4</v>
      </c>
      <c r="D20" t="s">
        <v>42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1</v>
      </c>
      <c r="N20">
        <v>0.14499999999999999</v>
      </c>
      <c r="O20">
        <v>3396</v>
      </c>
      <c r="P20">
        <v>0.61</v>
      </c>
      <c r="Q20">
        <v>1</v>
      </c>
    </row>
    <row r="21" spans="1:17" x14ac:dyDescent="0.25">
      <c r="A21" t="s">
        <v>41</v>
      </c>
      <c r="B21">
        <v>5</v>
      </c>
      <c r="C21">
        <v>5</v>
      </c>
      <c r="D21" t="s">
        <v>42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L21">
        <v>1</v>
      </c>
      <c r="N21">
        <v>-2.9000000000000001E-2</v>
      </c>
      <c r="O21">
        <v>3008</v>
      </c>
      <c r="P21">
        <v>-7.0000000000000007E-2</v>
      </c>
      <c r="Q21">
        <v>1</v>
      </c>
    </row>
    <row r="22" spans="1:17" x14ac:dyDescent="0.25">
      <c r="A22" t="s">
        <v>43</v>
      </c>
      <c r="B22">
        <v>6</v>
      </c>
      <c r="C22">
        <v>6</v>
      </c>
      <c r="D22" t="s">
        <v>42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L22">
        <v>1</v>
      </c>
      <c r="N22">
        <v>0.20699999999999999</v>
      </c>
      <c r="O22">
        <v>3536</v>
      </c>
      <c r="P22">
        <v>0.85</v>
      </c>
      <c r="Q22">
        <v>1</v>
      </c>
    </row>
    <row r="23" spans="1:17" x14ac:dyDescent="0.25">
      <c r="A23" t="s">
        <v>44</v>
      </c>
      <c r="B23">
        <v>7</v>
      </c>
      <c r="C23">
        <v>7</v>
      </c>
      <c r="D23" t="s">
        <v>45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0.27200000000000002</v>
      </c>
      <c r="O23">
        <v>3680</v>
      </c>
      <c r="P23">
        <v>1.1000000000000001</v>
      </c>
      <c r="Q23">
        <v>1</v>
      </c>
    </row>
    <row r="24" spans="1:17" x14ac:dyDescent="0.25">
      <c r="A24" t="s">
        <v>44</v>
      </c>
      <c r="B24">
        <v>8</v>
      </c>
      <c r="C24">
        <v>8</v>
      </c>
      <c r="D24" t="s">
        <v>45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0.84699999999999998</v>
      </c>
      <c r="O24">
        <v>4966</v>
      </c>
      <c r="P24">
        <v>3.36</v>
      </c>
      <c r="Q24">
        <v>1</v>
      </c>
    </row>
    <row r="25" spans="1:17" x14ac:dyDescent="0.25">
      <c r="A25" t="s">
        <v>44</v>
      </c>
      <c r="B25">
        <v>9</v>
      </c>
      <c r="C25">
        <v>9</v>
      </c>
      <c r="D25" t="s">
        <v>45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1</v>
      </c>
      <c r="M25">
        <v>2.5</v>
      </c>
      <c r="N25">
        <v>2.3639999999999999</v>
      </c>
      <c r="O25">
        <v>8356</v>
      </c>
      <c r="P25">
        <v>9.31</v>
      </c>
      <c r="Q25">
        <v>1</v>
      </c>
    </row>
    <row r="26" spans="1:17" x14ac:dyDescent="0.25">
      <c r="A26" t="s">
        <v>44</v>
      </c>
      <c r="B26">
        <v>10</v>
      </c>
      <c r="C26">
        <v>10</v>
      </c>
      <c r="D26" t="s">
        <v>45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1</v>
      </c>
      <c r="M26">
        <v>5</v>
      </c>
      <c r="N26">
        <v>4.8330000000000002</v>
      </c>
      <c r="O26">
        <v>13874</v>
      </c>
      <c r="P26">
        <v>18.98</v>
      </c>
      <c r="Q26">
        <v>1</v>
      </c>
    </row>
    <row r="27" spans="1:17" x14ac:dyDescent="0.25">
      <c r="A27" t="s">
        <v>44</v>
      </c>
      <c r="B27">
        <v>11</v>
      </c>
      <c r="C27">
        <v>11</v>
      </c>
      <c r="D27" t="s">
        <v>45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1</v>
      </c>
      <c r="M27">
        <v>12.5</v>
      </c>
      <c r="N27">
        <v>12.802</v>
      </c>
      <c r="O27">
        <v>31681</v>
      </c>
      <c r="P27">
        <v>50.22</v>
      </c>
      <c r="Q27">
        <v>1</v>
      </c>
    </row>
    <row r="28" spans="1:17" x14ac:dyDescent="0.25">
      <c r="A28" t="s">
        <v>44</v>
      </c>
      <c r="B28">
        <v>12</v>
      </c>
      <c r="C28">
        <v>12</v>
      </c>
      <c r="D28" t="s">
        <v>45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1</v>
      </c>
      <c r="M28">
        <v>25</v>
      </c>
      <c r="N28">
        <v>24.891999999999999</v>
      </c>
      <c r="O28">
        <v>58700</v>
      </c>
      <c r="P28">
        <v>97.61</v>
      </c>
      <c r="Q28">
        <v>1</v>
      </c>
    </row>
    <row r="29" spans="1:17" x14ac:dyDescent="0.25">
      <c r="A29" t="s">
        <v>46</v>
      </c>
      <c r="B29">
        <v>13</v>
      </c>
      <c r="C29">
        <v>13</v>
      </c>
      <c r="D29" t="s">
        <v>42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1</v>
      </c>
      <c r="N29">
        <v>27.55</v>
      </c>
      <c r="O29">
        <v>64640</v>
      </c>
      <c r="P29">
        <v>108.02</v>
      </c>
      <c r="Q29">
        <v>1</v>
      </c>
    </row>
    <row r="30" spans="1:17" x14ac:dyDescent="0.25">
      <c r="A30" t="s">
        <v>47</v>
      </c>
      <c r="B30">
        <v>14</v>
      </c>
      <c r="C30">
        <v>14</v>
      </c>
      <c r="D30" t="s">
        <v>42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1</v>
      </c>
      <c r="N30">
        <v>-0.13900000000000001</v>
      </c>
      <c r="O30">
        <v>2763</v>
      </c>
      <c r="P30">
        <v>-0.5</v>
      </c>
      <c r="Q30">
        <v>1</v>
      </c>
    </row>
    <row r="31" spans="1:17" x14ac:dyDescent="0.25">
      <c r="A31" t="s">
        <v>48</v>
      </c>
      <c r="B31">
        <v>15</v>
      </c>
      <c r="C31">
        <v>15</v>
      </c>
      <c r="D31" t="s">
        <v>42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1</v>
      </c>
      <c r="N31">
        <v>10.166</v>
      </c>
      <c r="O31">
        <v>25791</v>
      </c>
      <c r="P31">
        <v>39.89</v>
      </c>
      <c r="Q31">
        <v>1</v>
      </c>
    </row>
    <row r="32" spans="1:17" x14ac:dyDescent="0.25">
      <c r="A32" t="s">
        <v>49</v>
      </c>
      <c r="B32">
        <v>16</v>
      </c>
      <c r="C32">
        <v>16</v>
      </c>
      <c r="D32" t="s">
        <v>42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1</v>
      </c>
      <c r="N32">
        <v>13.141</v>
      </c>
      <c r="O32">
        <v>32440</v>
      </c>
      <c r="P32">
        <v>51.55</v>
      </c>
      <c r="Q32">
        <v>1</v>
      </c>
    </row>
    <row r="33" spans="1:17" x14ac:dyDescent="0.25">
      <c r="A33" t="s">
        <v>50</v>
      </c>
      <c r="B33">
        <v>17</v>
      </c>
      <c r="C33">
        <v>17</v>
      </c>
      <c r="D33" t="s">
        <v>42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L33">
        <v>1</v>
      </c>
      <c r="N33">
        <v>0.222</v>
      </c>
      <c r="O33">
        <v>3569</v>
      </c>
      <c r="P33">
        <v>0.91</v>
      </c>
      <c r="Q33">
        <v>1</v>
      </c>
    </row>
    <row r="34" spans="1:17" x14ac:dyDescent="0.25">
      <c r="A34" t="s">
        <v>51</v>
      </c>
      <c r="B34">
        <v>18</v>
      </c>
      <c r="C34">
        <v>18</v>
      </c>
      <c r="D34" t="s">
        <v>42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1</v>
      </c>
      <c r="N34">
        <v>16.667999999999999</v>
      </c>
      <c r="O34">
        <v>40321</v>
      </c>
      <c r="P34">
        <v>65.37</v>
      </c>
      <c r="Q34">
        <v>1</v>
      </c>
    </row>
    <row r="35" spans="1:17" x14ac:dyDescent="0.25">
      <c r="A35" t="s">
        <v>52</v>
      </c>
      <c r="B35">
        <v>19</v>
      </c>
      <c r="C35">
        <v>19</v>
      </c>
      <c r="D35" t="s">
        <v>42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L35">
        <v>1</v>
      </c>
      <c r="N35">
        <v>0.64400000000000002</v>
      </c>
      <c r="O35">
        <v>4511</v>
      </c>
      <c r="P35">
        <v>2.56</v>
      </c>
      <c r="Q35">
        <v>1</v>
      </c>
    </row>
    <row r="36" spans="1:17" x14ac:dyDescent="0.25">
      <c r="A36" t="s">
        <v>53</v>
      </c>
      <c r="B36">
        <v>20</v>
      </c>
      <c r="C36">
        <v>20</v>
      </c>
      <c r="D36" t="s">
        <v>42</v>
      </c>
      <c r="E36">
        <v>0</v>
      </c>
      <c r="F36">
        <v>0</v>
      </c>
      <c r="G36">
        <v>0</v>
      </c>
      <c r="I36">
        <v>0</v>
      </c>
      <c r="J36">
        <v>0</v>
      </c>
      <c r="K36">
        <v>0</v>
      </c>
      <c r="L36">
        <v>1</v>
      </c>
      <c r="N36">
        <v>0.51800000000000002</v>
      </c>
      <c r="O36">
        <v>4230</v>
      </c>
      <c r="P36">
        <v>2.0699999999999998</v>
      </c>
      <c r="Q36">
        <v>1</v>
      </c>
    </row>
    <row r="37" spans="1:17" x14ac:dyDescent="0.25">
      <c r="A37" t="s">
        <v>54</v>
      </c>
      <c r="B37">
        <v>21</v>
      </c>
      <c r="C37">
        <v>21</v>
      </c>
      <c r="D37" t="s">
        <v>42</v>
      </c>
      <c r="E37">
        <v>0</v>
      </c>
      <c r="F37">
        <v>0</v>
      </c>
      <c r="G37">
        <v>0</v>
      </c>
      <c r="I37">
        <v>0</v>
      </c>
      <c r="J37">
        <v>0</v>
      </c>
      <c r="K37">
        <v>0</v>
      </c>
      <c r="L37">
        <v>1</v>
      </c>
      <c r="N37">
        <v>0.22500000000000001</v>
      </c>
      <c r="O37">
        <v>3576</v>
      </c>
      <c r="P37">
        <v>0.92</v>
      </c>
      <c r="Q37">
        <v>1</v>
      </c>
    </row>
    <row r="38" spans="1:17" x14ac:dyDescent="0.25">
      <c r="A38" t="s">
        <v>55</v>
      </c>
      <c r="B38">
        <v>22</v>
      </c>
      <c r="C38">
        <v>22</v>
      </c>
      <c r="D38" t="s">
        <v>42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L38">
        <v>1</v>
      </c>
      <c r="N38">
        <v>0.214</v>
      </c>
      <c r="O38">
        <v>3552</v>
      </c>
      <c r="P38">
        <v>0.88</v>
      </c>
      <c r="Q38">
        <v>1</v>
      </c>
    </row>
    <row r="39" spans="1:17" x14ac:dyDescent="0.25">
      <c r="A39" t="s">
        <v>56</v>
      </c>
      <c r="B39">
        <v>23</v>
      </c>
      <c r="C39">
        <v>23</v>
      </c>
      <c r="D39" t="s">
        <v>42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L39">
        <v>1</v>
      </c>
      <c r="N39">
        <v>0.23499999999999999</v>
      </c>
      <c r="O39">
        <v>3599</v>
      </c>
      <c r="P39">
        <v>0.96</v>
      </c>
      <c r="Q39">
        <v>1</v>
      </c>
    </row>
    <row r="40" spans="1:17" x14ac:dyDescent="0.25">
      <c r="A40" t="s">
        <v>57</v>
      </c>
      <c r="B40">
        <v>24</v>
      </c>
      <c r="C40">
        <v>24</v>
      </c>
      <c r="D40" t="s">
        <v>42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L40">
        <v>1</v>
      </c>
      <c r="N40">
        <v>0.125</v>
      </c>
      <c r="O40">
        <v>3353</v>
      </c>
      <c r="P40">
        <v>0.53</v>
      </c>
      <c r="Q40">
        <v>1</v>
      </c>
    </row>
    <row r="41" spans="1:17" x14ac:dyDescent="0.25">
      <c r="A41" t="s">
        <v>58</v>
      </c>
      <c r="B41">
        <v>25</v>
      </c>
      <c r="C41">
        <v>25</v>
      </c>
      <c r="D41" t="s">
        <v>42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1</v>
      </c>
      <c r="N41">
        <v>0.44600000000000001</v>
      </c>
      <c r="O41">
        <v>4070</v>
      </c>
      <c r="P41">
        <v>1.79</v>
      </c>
      <c r="Q41">
        <v>1</v>
      </c>
    </row>
    <row r="42" spans="1:17" x14ac:dyDescent="0.25">
      <c r="A42" t="s">
        <v>59</v>
      </c>
      <c r="B42">
        <v>26</v>
      </c>
      <c r="C42">
        <v>26</v>
      </c>
      <c r="D42" t="s">
        <v>42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1</v>
      </c>
      <c r="N42">
        <v>0.24299999999999999</v>
      </c>
      <c r="O42">
        <v>3617</v>
      </c>
      <c r="P42">
        <v>0.99</v>
      </c>
      <c r="Q42">
        <v>1</v>
      </c>
    </row>
    <row r="43" spans="1:17" x14ac:dyDescent="0.25">
      <c r="A43" t="s">
        <v>60</v>
      </c>
      <c r="B43">
        <v>27</v>
      </c>
      <c r="C43">
        <v>27</v>
      </c>
      <c r="D43" t="s">
        <v>42</v>
      </c>
      <c r="E43">
        <v>0</v>
      </c>
      <c r="F43">
        <v>0</v>
      </c>
      <c r="G43">
        <v>0</v>
      </c>
      <c r="I43">
        <v>0</v>
      </c>
      <c r="J43">
        <v>0</v>
      </c>
      <c r="K43">
        <v>0</v>
      </c>
      <c r="L43">
        <v>1</v>
      </c>
      <c r="N43">
        <v>0.26</v>
      </c>
      <c r="O43">
        <v>3655</v>
      </c>
      <c r="P43">
        <v>1.06</v>
      </c>
      <c r="Q43">
        <v>1</v>
      </c>
    </row>
    <row r="44" spans="1:17" x14ac:dyDescent="0.25">
      <c r="A44" t="s">
        <v>61</v>
      </c>
      <c r="B44">
        <v>28</v>
      </c>
      <c r="C44">
        <v>28</v>
      </c>
      <c r="D44" t="s">
        <v>42</v>
      </c>
      <c r="E44">
        <v>0</v>
      </c>
      <c r="F44">
        <v>0</v>
      </c>
      <c r="G44">
        <v>0</v>
      </c>
      <c r="I44">
        <v>0</v>
      </c>
      <c r="J44">
        <v>0</v>
      </c>
      <c r="K44">
        <v>0</v>
      </c>
      <c r="L44">
        <v>1</v>
      </c>
      <c r="N44">
        <v>13.714</v>
      </c>
      <c r="O44">
        <v>33720</v>
      </c>
      <c r="P44">
        <v>53.79</v>
      </c>
      <c r="Q44">
        <v>1</v>
      </c>
    </row>
    <row r="45" spans="1:17" x14ac:dyDescent="0.25">
      <c r="A45" t="s">
        <v>62</v>
      </c>
      <c r="B45">
        <v>29</v>
      </c>
      <c r="C45">
        <v>29</v>
      </c>
      <c r="D45" t="s">
        <v>42</v>
      </c>
      <c r="E45">
        <v>0</v>
      </c>
      <c r="F45">
        <v>0</v>
      </c>
      <c r="G45">
        <v>0</v>
      </c>
      <c r="I45">
        <v>0</v>
      </c>
      <c r="J45">
        <v>0</v>
      </c>
      <c r="K45">
        <v>0</v>
      </c>
      <c r="L45">
        <v>1</v>
      </c>
      <c r="N45">
        <v>0.253</v>
      </c>
      <c r="O45">
        <v>3639</v>
      </c>
      <c r="P45">
        <v>1.03</v>
      </c>
      <c r="Q45">
        <v>1</v>
      </c>
    </row>
    <row r="46" spans="1:17" x14ac:dyDescent="0.25">
      <c r="A46" t="s">
        <v>63</v>
      </c>
      <c r="B46">
        <v>30</v>
      </c>
      <c r="C46">
        <v>30</v>
      </c>
      <c r="D46" t="s">
        <v>42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1</v>
      </c>
      <c r="N46">
        <v>1.0269999999999999</v>
      </c>
      <c r="O46">
        <v>5368</v>
      </c>
      <c r="P46">
        <v>4.07</v>
      </c>
      <c r="Q46">
        <v>1</v>
      </c>
    </row>
    <row r="47" spans="1:17" x14ac:dyDescent="0.25">
      <c r="A47" t="s">
        <v>64</v>
      </c>
      <c r="B47">
        <v>31</v>
      </c>
      <c r="C47">
        <v>31</v>
      </c>
      <c r="D47" t="s">
        <v>42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1</v>
      </c>
      <c r="N47">
        <v>0.57599999999999996</v>
      </c>
      <c r="O47">
        <v>4361</v>
      </c>
      <c r="P47">
        <v>2.2999999999999998</v>
      </c>
      <c r="Q47">
        <v>1</v>
      </c>
    </row>
    <row r="48" spans="1:17" x14ac:dyDescent="0.25">
      <c r="A48" t="s">
        <v>65</v>
      </c>
      <c r="B48">
        <v>32</v>
      </c>
      <c r="C48">
        <v>32</v>
      </c>
      <c r="D48" t="s">
        <v>42</v>
      </c>
      <c r="E48">
        <v>0</v>
      </c>
      <c r="F48">
        <v>0</v>
      </c>
      <c r="G48">
        <v>0</v>
      </c>
      <c r="I48">
        <v>0</v>
      </c>
      <c r="J48">
        <v>0</v>
      </c>
      <c r="K48">
        <v>0</v>
      </c>
      <c r="L48">
        <v>1</v>
      </c>
      <c r="N48">
        <v>1.0329999999999999</v>
      </c>
      <c r="O48">
        <v>5382</v>
      </c>
      <c r="P48">
        <v>4.09</v>
      </c>
      <c r="Q48">
        <v>1</v>
      </c>
    </row>
    <row r="49" spans="1:17" x14ac:dyDescent="0.25">
      <c r="A49" t="s">
        <v>66</v>
      </c>
      <c r="B49">
        <v>33</v>
      </c>
      <c r="C49">
        <v>33</v>
      </c>
      <c r="D49" t="s">
        <v>42</v>
      </c>
      <c r="E49">
        <v>0</v>
      </c>
      <c r="F49">
        <v>0</v>
      </c>
      <c r="G49">
        <v>0</v>
      </c>
      <c r="I49">
        <v>0</v>
      </c>
      <c r="J49">
        <v>0</v>
      </c>
      <c r="K49">
        <v>0</v>
      </c>
      <c r="L49">
        <v>1</v>
      </c>
      <c r="N49">
        <v>3.7450000000000001</v>
      </c>
      <c r="O49">
        <v>11442</v>
      </c>
      <c r="P49">
        <v>14.72</v>
      </c>
      <c r="Q49">
        <v>1</v>
      </c>
    </row>
    <row r="50" spans="1:17" x14ac:dyDescent="0.25">
      <c r="A50" t="s">
        <v>67</v>
      </c>
      <c r="B50">
        <v>34</v>
      </c>
      <c r="C50">
        <v>34</v>
      </c>
      <c r="D50" t="s">
        <v>42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L50">
        <v>1</v>
      </c>
      <c r="N50">
        <v>2.7519999999999998</v>
      </c>
      <c r="O50">
        <v>9223</v>
      </c>
      <c r="P50">
        <v>10.83</v>
      </c>
      <c r="Q50">
        <v>1</v>
      </c>
    </row>
    <row r="51" spans="1:17" x14ac:dyDescent="0.25">
      <c r="A51" t="s">
        <v>68</v>
      </c>
      <c r="B51">
        <v>35</v>
      </c>
      <c r="C51">
        <v>35</v>
      </c>
      <c r="D51" t="s">
        <v>42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L51">
        <v>1</v>
      </c>
      <c r="N51">
        <v>1.1279999999999999</v>
      </c>
      <c r="O51">
        <v>5593</v>
      </c>
      <c r="P51">
        <v>4.46</v>
      </c>
      <c r="Q51">
        <v>1</v>
      </c>
    </row>
    <row r="52" spans="1:17" x14ac:dyDescent="0.25">
      <c r="A52" t="s">
        <v>69</v>
      </c>
      <c r="B52">
        <v>36</v>
      </c>
      <c r="C52">
        <v>36</v>
      </c>
      <c r="D52" t="s">
        <v>42</v>
      </c>
      <c r="E52">
        <v>0</v>
      </c>
      <c r="F52">
        <v>0</v>
      </c>
      <c r="G52">
        <v>0</v>
      </c>
      <c r="I52">
        <v>0</v>
      </c>
      <c r="J52">
        <v>0</v>
      </c>
      <c r="K52">
        <v>0</v>
      </c>
      <c r="L52">
        <v>1</v>
      </c>
      <c r="N52">
        <v>0.99299999999999999</v>
      </c>
      <c r="O52">
        <v>5291</v>
      </c>
      <c r="P52">
        <v>3.93</v>
      </c>
      <c r="Q52">
        <v>1</v>
      </c>
    </row>
    <row r="53" spans="1:17" x14ac:dyDescent="0.25">
      <c r="A53" t="s">
        <v>70</v>
      </c>
      <c r="B53">
        <v>37</v>
      </c>
      <c r="C53">
        <v>37</v>
      </c>
      <c r="D53" t="s">
        <v>42</v>
      </c>
      <c r="E53">
        <v>0</v>
      </c>
      <c r="F53">
        <v>0</v>
      </c>
      <c r="G53">
        <v>0</v>
      </c>
      <c r="I53">
        <v>0</v>
      </c>
      <c r="J53">
        <v>0</v>
      </c>
      <c r="K53">
        <v>0</v>
      </c>
      <c r="L53">
        <v>1</v>
      </c>
      <c r="N53">
        <v>1.1439999999999999</v>
      </c>
      <c r="O53">
        <v>5630</v>
      </c>
      <c r="P53">
        <v>4.53</v>
      </c>
      <c r="Q53">
        <v>1</v>
      </c>
    </row>
    <row r="54" spans="1:17" x14ac:dyDescent="0.25">
      <c r="A54" t="s">
        <v>71</v>
      </c>
      <c r="B54">
        <v>38</v>
      </c>
      <c r="C54">
        <v>38</v>
      </c>
      <c r="D54" t="s">
        <v>42</v>
      </c>
      <c r="E54">
        <v>0</v>
      </c>
      <c r="F54">
        <v>0</v>
      </c>
      <c r="G54">
        <v>0</v>
      </c>
      <c r="I54">
        <v>0</v>
      </c>
      <c r="J54">
        <v>0</v>
      </c>
      <c r="K54">
        <v>0</v>
      </c>
      <c r="L54">
        <v>1</v>
      </c>
      <c r="N54">
        <v>0.89300000000000002</v>
      </c>
      <c r="O54">
        <v>5068</v>
      </c>
      <c r="P54">
        <v>3.54</v>
      </c>
      <c r="Q54">
        <v>1</v>
      </c>
    </row>
    <row r="55" spans="1:17" x14ac:dyDescent="0.25">
      <c r="A55" t="s">
        <v>72</v>
      </c>
      <c r="B55">
        <v>39</v>
      </c>
      <c r="C55">
        <v>39</v>
      </c>
      <c r="D55" t="s">
        <v>42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1</v>
      </c>
      <c r="N55">
        <v>2.6549999999999998</v>
      </c>
      <c r="O55">
        <v>9007</v>
      </c>
      <c r="P55">
        <v>10.45</v>
      </c>
      <c r="Q55">
        <v>1</v>
      </c>
    </row>
    <row r="56" spans="1:17" x14ac:dyDescent="0.25">
      <c r="A56" t="s">
        <v>73</v>
      </c>
      <c r="B56">
        <v>40</v>
      </c>
      <c r="C56">
        <v>40</v>
      </c>
      <c r="D56" t="s">
        <v>42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L56">
        <v>1</v>
      </c>
      <c r="N56">
        <v>14.103999999999999</v>
      </c>
      <c r="O56">
        <v>34592</v>
      </c>
      <c r="P56">
        <v>55.32</v>
      </c>
      <c r="Q56">
        <v>1</v>
      </c>
    </row>
    <row r="57" spans="1:17" x14ac:dyDescent="0.25">
      <c r="A57" t="s">
        <v>74</v>
      </c>
      <c r="B57">
        <v>41</v>
      </c>
      <c r="C57">
        <v>0</v>
      </c>
      <c r="D57" t="s">
        <v>75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L57">
        <v>1</v>
      </c>
      <c r="N57">
        <v>-0.01</v>
      </c>
      <c r="O57">
        <v>3050</v>
      </c>
      <c r="P57">
        <v>0</v>
      </c>
      <c r="Q57">
        <v>1</v>
      </c>
    </row>
    <row r="58" spans="1:17" x14ac:dyDescent="0.25">
      <c r="A58" t="s">
        <v>76</v>
      </c>
      <c r="B58">
        <v>42</v>
      </c>
      <c r="C58">
        <v>1</v>
      </c>
      <c r="D58" t="s">
        <v>42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  <c r="L58">
        <v>1</v>
      </c>
      <c r="N58">
        <v>0.54700000000000004</v>
      </c>
      <c r="O58">
        <v>4296</v>
      </c>
      <c r="P58">
        <v>2.19</v>
      </c>
      <c r="Q58">
        <v>1</v>
      </c>
    </row>
    <row r="59" spans="1:17" x14ac:dyDescent="0.25">
      <c r="A59" t="s">
        <v>77</v>
      </c>
      <c r="B59">
        <v>43</v>
      </c>
      <c r="C59">
        <v>2</v>
      </c>
      <c r="D59" t="s">
        <v>42</v>
      </c>
      <c r="E59">
        <v>0</v>
      </c>
      <c r="F59">
        <v>0</v>
      </c>
      <c r="G59">
        <v>0</v>
      </c>
      <c r="I59">
        <v>0</v>
      </c>
      <c r="J59">
        <v>0</v>
      </c>
      <c r="K59">
        <v>0</v>
      </c>
      <c r="L59">
        <v>1</v>
      </c>
      <c r="N59">
        <v>3.5590000000000002</v>
      </c>
      <c r="O59">
        <v>11026</v>
      </c>
      <c r="P59">
        <v>13.99</v>
      </c>
      <c r="Q59">
        <v>1</v>
      </c>
    </row>
    <row r="60" spans="1:17" x14ac:dyDescent="0.25">
      <c r="A60" t="s">
        <v>78</v>
      </c>
      <c r="B60">
        <v>44</v>
      </c>
      <c r="C60">
        <v>3</v>
      </c>
      <c r="D60" t="s">
        <v>42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L60">
        <v>1</v>
      </c>
      <c r="N60">
        <v>1.3959999999999999</v>
      </c>
      <c r="O60">
        <v>6192</v>
      </c>
      <c r="P60">
        <v>5.51</v>
      </c>
      <c r="Q60">
        <v>1</v>
      </c>
    </row>
    <row r="61" spans="1:17" x14ac:dyDescent="0.25">
      <c r="A61" t="s">
        <v>79</v>
      </c>
      <c r="B61">
        <v>45</v>
      </c>
      <c r="C61">
        <v>4</v>
      </c>
      <c r="D61" t="s">
        <v>42</v>
      </c>
      <c r="E61">
        <v>0</v>
      </c>
      <c r="F61">
        <v>0</v>
      </c>
      <c r="G61">
        <v>0</v>
      </c>
      <c r="I61">
        <v>0</v>
      </c>
      <c r="J61">
        <v>0</v>
      </c>
      <c r="K61">
        <v>0</v>
      </c>
      <c r="L61">
        <v>1</v>
      </c>
      <c r="N61">
        <v>1.8640000000000001</v>
      </c>
      <c r="O61">
        <v>7239</v>
      </c>
      <c r="P61">
        <v>7.35</v>
      </c>
      <c r="Q61">
        <v>1</v>
      </c>
    </row>
    <row r="62" spans="1:17" x14ac:dyDescent="0.25">
      <c r="A62" t="s">
        <v>80</v>
      </c>
      <c r="B62">
        <v>46</v>
      </c>
      <c r="C62">
        <v>5</v>
      </c>
      <c r="D62" t="s">
        <v>42</v>
      </c>
      <c r="E62">
        <v>0</v>
      </c>
      <c r="F62">
        <v>0</v>
      </c>
      <c r="G62">
        <v>0</v>
      </c>
      <c r="I62">
        <v>0</v>
      </c>
      <c r="J62">
        <v>0</v>
      </c>
      <c r="K62">
        <v>0</v>
      </c>
      <c r="L62">
        <v>1</v>
      </c>
      <c r="N62">
        <v>2.0750000000000002</v>
      </c>
      <c r="O62">
        <v>7711</v>
      </c>
      <c r="P62">
        <v>8.17</v>
      </c>
      <c r="Q62">
        <v>1</v>
      </c>
    </row>
    <row r="63" spans="1:17" x14ac:dyDescent="0.25">
      <c r="A63" t="s">
        <v>81</v>
      </c>
      <c r="B63">
        <v>47</v>
      </c>
      <c r="C63">
        <v>6</v>
      </c>
      <c r="D63" t="s">
        <v>42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L63">
        <v>1</v>
      </c>
      <c r="N63">
        <v>2.6360000000000001</v>
      </c>
      <c r="O63">
        <v>8963</v>
      </c>
      <c r="P63">
        <v>10.37</v>
      </c>
      <c r="Q63">
        <v>1</v>
      </c>
    </row>
    <row r="64" spans="1:17" x14ac:dyDescent="0.25">
      <c r="A64" t="s">
        <v>82</v>
      </c>
      <c r="B64">
        <v>48</v>
      </c>
      <c r="C64">
        <v>7</v>
      </c>
      <c r="D64" t="s">
        <v>42</v>
      </c>
      <c r="E64">
        <v>0</v>
      </c>
      <c r="F64">
        <v>0</v>
      </c>
      <c r="G64">
        <v>0</v>
      </c>
      <c r="I64">
        <v>0</v>
      </c>
      <c r="J64">
        <v>0</v>
      </c>
      <c r="K64">
        <v>0</v>
      </c>
      <c r="L64">
        <v>1</v>
      </c>
      <c r="N64">
        <v>1.2529999999999999</v>
      </c>
      <c r="O64">
        <v>5874</v>
      </c>
      <c r="P64">
        <v>4.95</v>
      </c>
      <c r="Q64">
        <v>1</v>
      </c>
    </row>
    <row r="65" spans="1:17" x14ac:dyDescent="0.25">
      <c r="A65" t="s">
        <v>83</v>
      </c>
      <c r="B65">
        <v>49</v>
      </c>
      <c r="C65">
        <v>8</v>
      </c>
      <c r="D65" t="s">
        <v>42</v>
      </c>
      <c r="E65">
        <v>0</v>
      </c>
      <c r="F65">
        <v>0</v>
      </c>
      <c r="G65">
        <v>0</v>
      </c>
      <c r="I65">
        <v>0</v>
      </c>
      <c r="J65">
        <v>0</v>
      </c>
      <c r="K65">
        <v>0</v>
      </c>
      <c r="L65">
        <v>1</v>
      </c>
      <c r="N65">
        <v>1.6140000000000001</v>
      </c>
      <c r="O65">
        <v>6680</v>
      </c>
      <c r="P65">
        <v>6.37</v>
      </c>
      <c r="Q65">
        <v>1</v>
      </c>
    </row>
    <row r="66" spans="1:17" x14ac:dyDescent="0.25">
      <c r="A66" t="s">
        <v>84</v>
      </c>
      <c r="B66">
        <v>50</v>
      </c>
      <c r="C66">
        <v>9</v>
      </c>
      <c r="D66" t="s">
        <v>42</v>
      </c>
      <c r="E66">
        <v>0</v>
      </c>
      <c r="F66">
        <v>0</v>
      </c>
      <c r="G66">
        <v>0</v>
      </c>
      <c r="I66">
        <v>0</v>
      </c>
      <c r="J66">
        <v>0</v>
      </c>
      <c r="K66">
        <v>0</v>
      </c>
      <c r="L66">
        <v>1</v>
      </c>
      <c r="N66">
        <v>2.0249999999999999</v>
      </c>
      <c r="O66">
        <v>7599</v>
      </c>
      <c r="P66">
        <v>7.98</v>
      </c>
      <c r="Q66">
        <v>1</v>
      </c>
    </row>
    <row r="67" spans="1:17" x14ac:dyDescent="0.25">
      <c r="A67" t="s">
        <v>85</v>
      </c>
      <c r="B67">
        <v>51</v>
      </c>
      <c r="C67">
        <v>10</v>
      </c>
      <c r="D67" t="s">
        <v>42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L67">
        <v>1</v>
      </c>
      <c r="N67">
        <v>2.8119999999999998</v>
      </c>
      <c r="O67">
        <v>9358</v>
      </c>
      <c r="P67">
        <v>11.06</v>
      </c>
      <c r="Q67">
        <v>1</v>
      </c>
    </row>
    <row r="68" spans="1:17" x14ac:dyDescent="0.25">
      <c r="A68" t="s">
        <v>86</v>
      </c>
      <c r="B68">
        <v>52</v>
      </c>
      <c r="C68">
        <v>11</v>
      </c>
      <c r="D68" t="s">
        <v>42</v>
      </c>
      <c r="E68">
        <v>0</v>
      </c>
      <c r="F68">
        <v>0</v>
      </c>
      <c r="G68">
        <v>0</v>
      </c>
      <c r="I68">
        <v>0</v>
      </c>
      <c r="J68">
        <v>0</v>
      </c>
      <c r="K68">
        <v>0</v>
      </c>
      <c r="L68">
        <v>1</v>
      </c>
      <c r="N68">
        <v>2.78</v>
      </c>
      <c r="O68">
        <v>9285</v>
      </c>
      <c r="P68">
        <v>10.94</v>
      </c>
      <c r="Q68">
        <v>1</v>
      </c>
    </row>
    <row r="69" spans="1:17" x14ac:dyDescent="0.25">
      <c r="A69" t="s">
        <v>87</v>
      </c>
      <c r="B69">
        <v>53</v>
      </c>
      <c r="C69">
        <v>12</v>
      </c>
      <c r="D69" t="s">
        <v>42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L69">
        <v>1</v>
      </c>
      <c r="N69">
        <v>14.632999999999999</v>
      </c>
      <c r="O69">
        <v>35774</v>
      </c>
      <c r="P69">
        <v>57.39</v>
      </c>
      <c r="Q69">
        <v>1</v>
      </c>
    </row>
    <row r="70" spans="1:17" x14ac:dyDescent="0.25">
      <c r="A70" t="s">
        <v>88</v>
      </c>
      <c r="B70">
        <v>54</v>
      </c>
      <c r="C70">
        <v>13</v>
      </c>
      <c r="D70" t="s">
        <v>42</v>
      </c>
      <c r="E70">
        <v>0</v>
      </c>
      <c r="F70">
        <v>0</v>
      </c>
      <c r="G70">
        <v>0</v>
      </c>
      <c r="I70">
        <v>0</v>
      </c>
      <c r="J70">
        <v>0</v>
      </c>
      <c r="K70">
        <v>0</v>
      </c>
      <c r="L70">
        <v>1</v>
      </c>
      <c r="N70">
        <v>0.91600000000000004</v>
      </c>
      <c r="O70">
        <v>5120</v>
      </c>
      <c r="P70">
        <v>3.63</v>
      </c>
      <c r="Q70">
        <v>1</v>
      </c>
    </row>
    <row r="71" spans="1:17" x14ac:dyDescent="0.25">
      <c r="A71" t="s">
        <v>89</v>
      </c>
      <c r="B71">
        <v>55</v>
      </c>
      <c r="C71">
        <v>14</v>
      </c>
      <c r="D71" t="s">
        <v>42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1</v>
      </c>
      <c r="N71">
        <v>8.5120000000000005</v>
      </c>
      <c r="O71">
        <v>22094</v>
      </c>
      <c r="P71">
        <v>33.4</v>
      </c>
      <c r="Q71">
        <v>1</v>
      </c>
    </row>
    <row r="72" spans="1:17" x14ac:dyDescent="0.25">
      <c r="A72" t="s">
        <v>90</v>
      </c>
      <c r="B72">
        <v>56</v>
      </c>
      <c r="C72">
        <v>15</v>
      </c>
      <c r="D72" t="s">
        <v>42</v>
      </c>
      <c r="E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1</v>
      </c>
      <c r="N72">
        <v>1.7070000000000001</v>
      </c>
      <c r="O72">
        <v>6887</v>
      </c>
      <c r="P72">
        <v>6.73</v>
      </c>
      <c r="Q72">
        <v>1</v>
      </c>
    </row>
    <row r="73" spans="1:17" x14ac:dyDescent="0.25">
      <c r="A73" t="s">
        <v>91</v>
      </c>
      <c r="B73">
        <v>57</v>
      </c>
      <c r="C73">
        <v>16</v>
      </c>
      <c r="D73" t="s">
        <v>42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L73">
        <v>1</v>
      </c>
      <c r="N73">
        <v>3.8330000000000002</v>
      </c>
      <c r="O73">
        <v>11638</v>
      </c>
      <c r="P73">
        <v>15.06</v>
      </c>
      <c r="Q73">
        <v>1</v>
      </c>
    </row>
    <row r="74" spans="1:17" x14ac:dyDescent="0.25">
      <c r="A74" t="s">
        <v>92</v>
      </c>
      <c r="B74">
        <v>58</v>
      </c>
      <c r="C74">
        <v>17</v>
      </c>
      <c r="D74" t="s">
        <v>42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L74">
        <v>1</v>
      </c>
      <c r="N74">
        <v>6.7510000000000003</v>
      </c>
      <c r="O74">
        <v>18160</v>
      </c>
      <c r="P74">
        <v>26.5</v>
      </c>
      <c r="Q74">
        <v>1</v>
      </c>
    </row>
    <row r="75" spans="1:17" x14ac:dyDescent="0.25">
      <c r="A75" t="s">
        <v>93</v>
      </c>
      <c r="B75">
        <v>59</v>
      </c>
      <c r="C75">
        <v>18</v>
      </c>
      <c r="D75" t="s">
        <v>42</v>
      </c>
      <c r="E75">
        <v>0</v>
      </c>
      <c r="F75">
        <v>0</v>
      </c>
      <c r="G75">
        <v>0</v>
      </c>
      <c r="I75">
        <v>0</v>
      </c>
      <c r="J75">
        <v>0</v>
      </c>
      <c r="K75">
        <v>0</v>
      </c>
      <c r="L75">
        <v>1</v>
      </c>
      <c r="N75">
        <v>1.454</v>
      </c>
      <c r="O75">
        <v>6322</v>
      </c>
      <c r="P75">
        <v>5.74</v>
      </c>
      <c r="Q75">
        <v>1</v>
      </c>
    </row>
    <row r="76" spans="1:17" x14ac:dyDescent="0.25">
      <c r="A76" t="s">
        <v>94</v>
      </c>
      <c r="B76">
        <v>60</v>
      </c>
      <c r="C76">
        <v>19</v>
      </c>
      <c r="D76" t="s">
        <v>42</v>
      </c>
      <c r="E76">
        <v>0</v>
      </c>
      <c r="F76">
        <v>0</v>
      </c>
      <c r="G76">
        <v>0</v>
      </c>
      <c r="I76">
        <v>0</v>
      </c>
      <c r="J76">
        <v>0</v>
      </c>
      <c r="K76">
        <v>0</v>
      </c>
      <c r="L76">
        <v>1</v>
      </c>
      <c r="N76">
        <v>6.4809999999999999</v>
      </c>
      <c r="O76">
        <v>17557</v>
      </c>
      <c r="P76">
        <v>25.44</v>
      </c>
      <c r="Q76">
        <v>1</v>
      </c>
    </row>
    <row r="77" spans="1:17" x14ac:dyDescent="0.25">
      <c r="A77" t="s">
        <v>95</v>
      </c>
      <c r="B77">
        <v>61</v>
      </c>
      <c r="C77">
        <v>20</v>
      </c>
      <c r="D77" t="s">
        <v>42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L77">
        <v>1</v>
      </c>
      <c r="N77">
        <v>1.7729999999999999</v>
      </c>
      <c r="O77">
        <v>7034</v>
      </c>
      <c r="P77">
        <v>6.99</v>
      </c>
      <c r="Q77">
        <v>1</v>
      </c>
    </row>
    <row r="78" spans="1:17" x14ac:dyDescent="0.25">
      <c r="A78" t="s">
        <v>96</v>
      </c>
      <c r="B78">
        <v>62</v>
      </c>
      <c r="C78">
        <v>21</v>
      </c>
      <c r="D78" t="s">
        <v>42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L78">
        <v>1</v>
      </c>
      <c r="N78">
        <v>1.08</v>
      </c>
      <c r="O78">
        <v>5486</v>
      </c>
      <c r="P78">
        <v>4.2699999999999996</v>
      </c>
      <c r="Q78">
        <v>1</v>
      </c>
    </row>
    <row r="79" spans="1:17" x14ac:dyDescent="0.25">
      <c r="A79" t="s">
        <v>97</v>
      </c>
      <c r="B79">
        <v>63</v>
      </c>
      <c r="C79">
        <v>22</v>
      </c>
      <c r="D79" t="s">
        <v>42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L79">
        <v>1</v>
      </c>
      <c r="N79">
        <v>12.326000000000001</v>
      </c>
      <c r="O79">
        <v>30619</v>
      </c>
      <c r="P79">
        <v>48.35</v>
      </c>
      <c r="Q79">
        <v>1</v>
      </c>
    </row>
    <row r="80" spans="1:17" x14ac:dyDescent="0.25">
      <c r="A80" t="s">
        <v>98</v>
      </c>
      <c r="B80">
        <v>64</v>
      </c>
      <c r="C80">
        <v>23</v>
      </c>
      <c r="D80" t="s">
        <v>42</v>
      </c>
      <c r="E80">
        <v>0</v>
      </c>
      <c r="F80">
        <v>0</v>
      </c>
      <c r="G80">
        <v>0</v>
      </c>
      <c r="I80">
        <v>0</v>
      </c>
      <c r="J80">
        <v>0</v>
      </c>
      <c r="K80">
        <v>0</v>
      </c>
      <c r="L80">
        <v>1</v>
      </c>
      <c r="N80">
        <v>0.96699999999999997</v>
      </c>
      <c r="O80">
        <v>5235</v>
      </c>
      <c r="P80">
        <v>3.83</v>
      </c>
      <c r="Q80">
        <v>1</v>
      </c>
    </row>
    <row r="81" spans="1:17" x14ac:dyDescent="0.25">
      <c r="A81" t="s">
        <v>99</v>
      </c>
      <c r="B81">
        <v>65</v>
      </c>
      <c r="C81">
        <v>24</v>
      </c>
      <c r="D81" t="s">
        <v>42</v>
      </c>
      <c r="E81">
        <v>0</v>
      </c>
      <c r="F81">
        <v>0</v>
      </c>
      <c r="G81">
        <v>0</v>
      </c>
      <c r="I81">
        <v>0</v>
      </c>
      <c r="J81">
        <v>0</v>
      </c>
      <c r="K81">
        <v>0</v>
      </c>
      <c r="L81">
        <v>1</v>
      </c>
      <c r="N81">
        <v>14.944000000000001</v>
      </c>
      <c r="O81">
        <v>36469</v>
      </c>
      <c r="P81">
        <v>58.61</v>
      </c>
      <c r="Q81">
        <v>1</v>
      </c>
    </row>
    <row r="82" spans="1:17" x14ac:dyDescent="0.25">
      <c r="A82" t="s">
        <v>100</v>
      </c>
      <c r="B82">
        <v>66</v>
      </c>
      <c r="C82">
        <v>25</v>
      </c>
      <c r="D82" t="s">
        <v>42</v>
      </c>
      <c r="E82">
        <v>0</v>
      </c>
      <c r="F82">
        <v>0</v>
      </c>
      <c r="G82">
        <v>0</v>
      </c>
      <c r="I82">
        <v>0</v>
      </c>
      <c r="J82">
        <v>0</v>
      </c>
      <c r="K82">
        <v>0</v>
      </c>
      <c r="L82">
        <v>1</v>
      </c>
      <c r="N82">
        <v>0.66100000000000003</v>
      </c>
      <c r="O82">
        <v>4549</v>
      </c>
      <c r="P82">
        <v>2.63</v>
      </c>
      <c r="Q82">
        <v>1</v>
      </c>
    </row>
    <row r="83" spans="1:17" x14ac:dyDescent="0.25">
      <c r="A83" t="s">
        <v>101</v>
      </c>
      <c r="B83">
        <v>67</v>
      </c>
      <c r="C83">
        <v>26</v>
      </c>
      <c r="D83" t="s">
        <v>42</v>
      </c>
      <c r="E83">
        <v>0</v>
      </c>
      <c r="F83">
        <v>0</v>
      </c>
      <c r="G83">
        <v>0</v>
      </c>
      <c r="I83">
        <v>0</v>
      </c>
      <c r="J83">
        <v>0</v>
      </c>
      <c r="K83">
        <v>0</v>
      </c>
      <c r="L83">
        <v>1</v>
      </c>
      <c r="N83">
        <v>1.1419999999999999</v>
      </c>
      <c r="O83">
        <v>5624</v>
      </c>
      <c r="P83">
        <v>4.51</v>
      </c>
      <c r="Q83">
        <v>1</v>
      </c>
    </row>
    <row r="84" spans="1:17" x14ac:dyDescent="0.25">
      <c r="A84" t="s">
        <v>102</v>
      </c>
      <c r="B84">
        <v>68</v>
      </c>
      <c r="C84">
        <v>27</v>
      </c>
      <c r="D84" t="s">
        <v>42</v>
      </c>
      <c r="E84">
        <v>0</v>
      </c>
      <c r="F84">
        <v>0</v>
      </c>
      <c r="G84">
        <v>0</v>
      </c>
      <c r="I84">
        <v>0</v>
      </c>
      <c r="J84">
        <v>0</v>
      </c>
      <c r="K84">
        <v>0</v>
      </c>
      <c r="L84">
        <v>1</v>
      </c>
      <c r="N84">
        <v>2.2120000000000002</v>
      </c>
      <c r="O84">
        <v>8017</v>
      </c>
      <c r="P84">
        <v>8.7100000000000009</v>
      </c>
      <c r="Q84">
        <v>1</v>
      </c>
    </row>
    <row r="85" spans="1:17" x14ac:dyDescent="0.25">
      <c r="A85" t="s">
        <v>103</v>
      </c>
      <c r="B85">
        <v>69</v>
      </c>
      <c r="C85">
        <v>28</v>
      </c>
      <c r="D85" t="s">
        <v>42</v>
      </c>
      <c r="E85">
        <v>0</v>
      </c>
      <c r="F85">
        <v>0</v>
      </c>
      <c r="G85">
        <v>0</v>
      </c>
      <c r="I85">
        <v>0</v>
      </c>
      <c r="J85">
        <v>0</v>
      </c>
      <c r="K85">
        <v>0</v>
      </c>
      <c r="L85">
        <v>1</v>
      </c>
      <c r="N85">
        <v>6.54</v>
      </c>
      <c r="O85">
        <v>17687</v>
      </c>
      <c r="P85">
        <v>25.67</v>
      </c>
      <c r="Q85">
        <v>1</v>
      </c>
    </row>
    <row r="86" spans="1:17" x14ac:dyDescent="0.25">
      <c r="A86" t="s">
        <v>104</v>
      </c>
      <c r="B86">
        <v>70</v>
      </c>
      <c r="C86">
        <v>29</v>
      </c>
      <c r="D86" t="s">
        <v>42</v>
      </c>
      <c r="E86">
        <v>0</v>
      </c>
      <c r="F86">
        <v>0</v>
      </c>
      <c r="G86">
        <v>0</v>
      </c>
      <c r="I86">
        <v>0</v>
      </c>
      <c r="J86">
        <v>0</v>
      </c>
      <c r="K86">
        <v>0</v>
      </c>
      <c r="L86">
        <v>1</v>
      </c>
      <c r="N86">
        <v>1.1459999999999999</v>
      </c>
      <c r="O86">
        <v>5633</v>
      </c>
      <c r="P86">
        <v>4.53</v>
      </c>
      <c r="Q86">
        <v>1</v>
      </c>
    </row>
    <row r="87" spans="1:17" x14ac:dyDescent="0.25">
      <c r="A87" t="s">
        <v>105</v>
      </c>
      <c r="B87">
        <v>71</v>
      </c>
      <c r="C87">
        <v>30</v>
      </c>
      <c r="D87" t="s">
        <v>42</v>
      </c>
      <c r="E87">
        <v>0</v>
      </c>
      <c r="F87">
        <v>0</v>
      </c>
      <c r="G87">
        <v>0</v>
      </c>
      <c r="I87">
        <v>0</v>
      </c>
      <c r="J87">
        <v>0</v>
      </c>
      <c r="K87">
        <v>0</v>
      </c>
      <c r="L87">
        <v>1</v>
      </c>
      <c r="N87">
        <v>2.6389999999999998</v>
      </c>
      <c r="O87">
        <v>8970</v>
      </c>
      <c r="P87">
        <v>10.38</v>
      </c>
      <c r="Q87">
        <v>1</v>
      </c>
    </row>
    <row r="88" spans="1:17" x14ac:dyDescent="0.25">
      <c r="A88" t="s">
        <v>106</v>
      </c>
      <c r="B88">
        <v>72</v>
      </c>
      <c r="C88">
        <v>31</v>
      </c>
      <c r="D88" t="s">
        <v>42</v>
      </c>
      <c r="E88">
        <v>0</v>
      </c>
      <c r="F88">
        <v>0</v>
      </c>
      <c r="G88">
        <v>0</v>
      </c>
      <c r="I88">
        <v>0</v>
      </c>
      <c r="J88">
        <v>0</v>
      </c>
      <c r="K88">
        <v>0</v>
      </c>
      <c r="L88">
        <v>1</v>
      </c>
      <c r="N88">
        <v>5.1879999999999997</v>
      </c>
      <c r="O88">
        <v>14667</v>
      </c>
      <c r="P88">
        <v>20.38</v>
      </c>
      <c r="Q88">
        <v>1</v>
      </c>
    </row>
    <row r="89" spans="1:17" x14ac:dyDescent="0.25">
      <c r="A89" t="s">
        <v>107</v>
      </c>
      <c r="B89">
        <v>73</v>
      </c>
      <c r="C89">
        <v>32</v>
      </c>
      <c r="D89" t="s">
        <v>42</v>
      </c>
      <c r="E89">
        <v>0</v>
      </c>
      <c r="F89">
        <v>0</v>
      </c>
      <c r="G89">
        <v>0</v>
      </c>
      <c r="I89">
        <v>0</v>
      </c>
      <c r="J89">
        <v>0</v>
      </c>
      <c r="K89">
        <v>0</v>
      </c>
      <c r="L89">
        <v>1</v>
      </c>
      <c r="N89">
        <v>1.631</v>
      </c>
      <c r="O89">
        <v>6718</v>
      </c>
      <c r="P89">
        <v>6.43</v>
      </c>
      <c r="Q89">
        <v>1</v>
      </c>
    </row>
    <row r="90" spans="1:17" x14ac:dyDescent="0.25">
      <c r="A90" t="s">
        <v>108</v>
      </c>
      <c r="B90">
        <v>74</v>
      </c>
      <c r="C90">
        <v>33</v>
      </c>
      <c r="D90" t="s">
        <v>42</v>
      </c>
      <c r="E90">
        <v>0</v>
      </c>
      <c r="F90">
        <v>0</v>
      </c>
      <c r="G90">
        <v>0</v>
      </c>
      <c r="I90">
        <v>0</v>
      </c>
      <c r="J90">
        <v>0</v>
      </c>
      <c r="K90">
        <v>0</v>
      </c>
      <c r="L90">
        <v>1</v>
      </c>
      <c r="N90">
        <v>2.7890000000000001</v>
      </c>
      <c r="O90">
        <v>9306</v>
      </c>
      <c r="P90">
        <v>10.97</v>
      </c>
      <c r="Q90">
        <v>1</v>
      </c>
    </row>
    <row r="91" spans="1:17" x14ac:dyDescent="0.25">
      <c r="A91" t="s">
        <v>109</v>
      </c>
      <c r="B91">
        <v>75</v>
      </c>
      <c r="C91">
        <v>34</v>
      </c>
      <c r="D91" t="s">
        <v>42</v>
      </c>
      <c r="E91">
        <v>0</v>
      </c>
      <c r="F91">
        <v>0</v>
      </c>
      <c r="G91">
        <v>0</v>
      </c>
      <c r="I91">
        <v>0</v>
      </c>
      <c r="J91">
        <v>0</v>
      </c>
      <c r="K91">
        <v>0</v>
      </c>
      <c r="L91">
        <v>1</v>
      </c>
      <c r="N91">
        <v>1.46</v>
      </c>
      <c r="O91">
        <v>6335</v>
      </c>
      <c r="P91">
        <v>5.76</v>
      </c>
      <c r="Q91">
        <v>1</v>
      </c>
    </row>
    <row r="92" spans="1:17" x14ac:dyDescent="0.25">
      <c r="A92" t="s">
        <v>110</v>
      </c>
      <c r="B92">
        <v>76</v>
      </c>
      <c r="C92">
        <v>35</v>
      </c>
      <c r="D92" t="s">
        <v>42</v>
      </c>
      <c r="E92">
        <v>0</v>
      </c>
      <c r="F92">
        <v>0</v>
      </c>
      <c r="G92">
        <v>0</v>
      </c>
      <c r="I92">
        <v>0</v>
      </c>
      <c r="J92">
        <v>0</v>
      </c>
      <c r="K92">
        <v>0</v>
      </c>
      <c r="L92">
        <v>1</v>
      </c>
      <c r="N92">
        <v>15.097</v>
      </c>
      <c r="O92">
        <v>36811</v>
      </c>
      <c r="P92">
        <v>59.21</v>
      </c>
      <c r="Q92">
        <v>1</v>
      </c>
    </row>
    <row r="93" spans="1:17" x14ac:dyDescent="0.25">
      <c r="A93" t="s">
        <v>111</v>
      </c>
      <c r="B93">
        <v>77</v>
      </c>
      <c r="C93">
        <v>36</v>
      </c>
      <c r="D93" t="s">
        <v>42</v>
      </c>
      <c r="E93">
        <v>0</v>
      </c>
      <c r="F93">
        <v>0</v>
      </c>
      <c r="G93">
        <v>0</v>
      </c>
      <c r="I93">
        <v>0</v>
      </c>
      <c r="J93">
        <v>0</v>
      </c>
      <c r="K93">
        <v>0</v>
      </c>
      <c r="L93">
        <v>1</v>
      </c>
      <c r="N93">
        <v>0.90600000000000003</v>
      </c>
      <c r="O93">
        <v>5098</v>
      </c>
      <c r="P93">
        <v>3.59</v>
      </c>
      <c r="Q93">
        <v>1</v>
      </c>
    </row>
    <row r="94" spans="1:17" x14ac:dyDescent="0.25">
      <c r="A94" t="s">
        <v>112</v>
      </c>
      <c r="B94">
        <v>78</v>
      </c>
      <c r="C94">
        <v>37</v>
      </c>
      <c r="D94" t="s">
        <v>42</v>
      </c>
      <c r="E94">
        <v>0</v>
      </c>
      <c r="F94">
        <v>0</v>
      </c>
      <c r="G94">
        <v>0</v>
      </c>
      <c r="I94">
        <v>0</v>
      </c>
      <c r="J94">
        <v>0</v>
      </c>
      <c r="K94">
        <v>0</v>
      </c>
      <c r="L94">
        <v>1</v>
      </c>
      <c r="N94">
        <v>0.97</v>
      </c>
      <c r="O94">
        <v>5241</v>
      </c>
      <c r="P94">
        <v>3.84</v>
      </c>
      <c r="Q94">
        <v>1</v>
      </c>
    </row>
    <row r="95" spans="1:17" x14ac:dyDescent="0.25">
      <c r="A95" t="s">
        <v>113</v>
      </c>
      <c r="B95">
        <v>79</v>
      </c>
      <c r="C95">
        <v>38</v>
      </c>
      <c r="D95" t="s">
        <v>42</v>
      </c>
      <c r="E95">
        <v>0</v>
      </c>
      <c r="F95">
        <v>0</v>
      </c>
      <c r="G95">
        <v>0</v>
      </c>
      <c r="I95">
        <v>0</v>
      </c>
      <c r="J95">
        <v>0</v>
      </c>
      <c r="K95">
        <v>0</v>
      </c>
      <c r="L95">
        <v>1</v>
      </c>
      <c r="N95">
        <v>1.6910000000000001</v>
      </c>
      <c r="O95">
        <v>6851</v>
      </c>
      <c r="P95">
        <v>6.67</v>
      </c>
      <c r="Q95">
        <v>1</v>
      </c>
    </row>
    <row r="96" spans="1:17" x14ac:dyDescent="0.25">
      <c r="A96" t="s">
        <v>114</v>
      </c>
      <c r="B96">
        <v>80</v>
      </c>
      <c r="C96">
        <v>39</v>
      </c>
      <c r="D96" t="s">
        <v>42</v>
      </c>
      <c r="E96">
        <v>0</v>
      </c>
      <c r="F96">
        <v>0</v>
      </c>
      <c r="G96">
        <v>0</v>
      </c>
      <c r="I96">
        <v>0</v>
      </c>
      <c r="J96">
        <v>0</v>
      </c>
      <c r="K96">
        <v>0</v>
      </c>
      <c r="L96">
        <v>1</v>
      </c>
      <c r="N96">
        <v>1.5529999999999999</v>
      </c>
      <c r="O96">
        <v>6543</v>
      </c>
      <c r="P96">
        <v>6.13</v>
      </c>
      <c r="Q96">
        <v>1</v>
      </c>
    </row>
    <row r="97" spans="1:17" x14ac:dyDescent="0.25">
      <c r="A97" t="s">
        <v>115</v>
      </c>
      <c r="B97">
        <v>81</v>
      </c>
      <c r="C97">
        <v>40</v>
      </c>
      <c r="D97" t="s">
        <v>42</v>
      </c>
      <c r="E97">
        <v>0</v>
      </c>
      <c r="F97">
        <v>0</v>
      </c>
      <c r="G97">
        <v>0</v>
      </c>
      <c r="I97">
        <v>0</v>
      </c>
      <c r="J97">
        <v>0</v>
      </c>
      <c r="K97">
        <v>0</v>
      </c>
      <c r="L97">
        <v>1</v>
      </c>
      <c r="N97">
        <v>1.5229999999999999</v>
      </c>
      <c r="O97">
        <v>6477</v>
      </c>
      <c r="P97">
        <v>6.01</v>
      </c>
      <c r="Q97">
        <v>1</v>
      </c>
    </row>
    <row r="98" spans="1:17" x14ac:dyDescent="0.25">
      <c r="A98" t="s">
        <v>74</v>
      </c>
      <c r="B98">
        <v>82</v>
      </c>
      <c r="C98">
        <v>0</v>
      </c>
      <c r="D98" t="s">
        <v>75</v>
      </c>
      <c r="E98">
        <v>0</v>
      </c>
      <c r="F98">
        <v>0</v>
      </c>
      <c r="G98">
        <v>0</v>
      </c>
      <c r="I98">
        <v>0</v>
      </c>
      <c r="J98">
        <v>0</v>
      </c>
      <c r="K98">
        <v>0</v>
      </c>
      <c r="L98">
        <v>1</v>
      </c>
      <c r="N98">
        <v>-0.01</v>
      </c>
      <c r="O98">
        <v>3050</v>
      </c>
      <c r="P98">
        <v>0</v>
      </c>
      <c r="Q98">
        <v>1</v>
      </c>
    </row>
    <row r="99" spans="1:17" x14ac:dyDescent="0.25">
      <c r="A99" t="s">
        <v>116</v>
      </c>
      <c r="B99">
        <v>83</v>
      </c>
      <c r="C99">
        <v>1</v>
      </c>
      <c r="D99" t="s">
        <v>42</v>
      </c>
      <c r="E99">
        <v>0</v>
      </c>
      <c r="F99">
        <v>0</v>
      </c>
      <c r="G99">
        <v>0</v>
      </c>
      <c r="I99">
        <v>0</v>
      </c>
      <c r="J99">
        <v>0</v>
      </c>
      <c r="K99">
        <v>0</v>
      </c>
      <c r="L99">
        <v>1</v>
      </c>
      <c r="N99">
        <v>2.254</v>
      </c>
      <c r="O99">
        <v>8109</v>
      </c>
      <c r="P99">
        <v>8.8699999999999992</v>
      </c>
      <c r="Q99">
        <v>1</v>
      </c>
    </row>
    <row r="100" spans="1:17" x14ac:dyDescent="0.25">
      <c r="A100" t="s">
        <v>117</v>
      </c>
      <c r="B100">
        <v>84</v>
      </c>
      <c r="C100">
        <v>2</v>
      </c>
      <c r="D100" t="s">
        <v>42</v>
      </c>
      <c r="E100">
        <v>0</v>
      </c>
      <c r="F100">
        <v>0</v>
      </c>
      <c r="G100">
        <v>0</v>
      </c>
      <c r="I100">
        <v>0</v>
      </c>
      <c r="J100">
        <v>0</v>
      </c>
      <c r="K100">
        <v>0</v>
      </c>
      <c r="L100">
        <v>1</v>
      </c>
      <c r="N100">
        <v>1.7989999999999999</v>
      </c>
      <c r="O100">
        <v>7094</v>
      </c>
      <c r="P100">
        <v>7.09</v>
      </c>
      <c r="Q100">
        <v>1</v>
      </c>
    </row>
    <row r="101" spans="1:17" x14ac:dyDescent="0.25">
      <c r="A101" t="s">
        <v>118</v>
      </c>
      <c r="B101">
        <v>85</v>
      </c>
      <c r="C101">
        <v>3</v>
      </c>
      <c r="D101" t="s">
        <v>42</v>
      </c>
      <c r="E101">
        <v>0</v>
      </c>
      <c r="F101">
        <v>0</v>
      </c>
      <c r="G101">
        <v>0</v>
      </c>
      <c r="I101">
        <v>0</v>
      </c>
      <c r="J101">
        <v>0</v>
      </c>
      <c r="K101">
        <v>0</v>
      </c>
      <c r="L101">
        <v>1</v>
      </c>
      <c r="N101">
        <v>1.1659999999999999</v>
      </c>
      <c r="O101">
        <v>5679</v>
      </c>
      <c r="P101">
        <v>4.6100000000000003</v>
      </c>
      <c r="Q101">
        <v>1</v>
      </c>
    </row>
    <row r="102" spans="1:17" x14ac:dyDescent="0.25">
      <c r="A102" t="s">
        <v>119</v>
      </c>
      <c r="B102">
        <v>86</v>
      </c>
      <c r="C102">
        <v>4</v>
      </c>
      <c r="D102" t="s">
        <v>42</v>
      </c>
      <c r="E102">
        <v>0</v>
      </c>
      <c r="F102">
        <v>0</v>
      </c>
      <c r="G102">
        <v>0</v>
      </c>
      <c r="I102">
        <v>0</v>
      </c>
      <c r="J102">
        <v>0</v>
      </c>
      <c r="K102">
        <v>0</v>
      </c>
      <c r="L102">
        <v>1</v>
      </c>
      <c r="N102">
        <v>1.8919999999999999</v>
      </c>
      <c r="O102">
        <v>7301</v>
      </c>
      <c r="P102">
        <v>7.46</v>
      </c>
      <c r="Q102">
        <v>1</v>
      </c>
    </row>
    <row r="103" spans="1:17" x14ac:dyDescent="0.25">
      <c r="A103" t="s">
        <v>120</v>
      </c>
      <c r="B103">
        <v>87</v>
      </c>
      <c r="C103">
        <v>5</v>
      </c>
      <c r="D103" t="s">
        <v>42</v>
      </c>
      <c r="E103">
        <v>0</v>
      </c>
      <c r="F103">
        <v>0</v>
      </c>
      <c r="G103">
        <v>0</v>
      </c>
      <c r="I103">
        <v>0</v>
      </c>
      <c r="J103">
        <v>0</v>
      </c>
      <c r="K103">
        <v>0</v>
      </c>
      <c r="L103">
        <v>1</v>
      </c>
      <c r="N103">
        <v>0.94799999999999995</v>
      </c>
      <c r="O103">
        <v>5192</v>
      </c>
      <c r="P103">
        <v>3.76</v>
      </c>
      <c r="Q103">
        <v>1</v>
      </c>
    </row>
    <row r="104" spans="1:17" x14ac:dyDescent="0.25">
      <c r="A104" t="s">
        <v>121</v>
      </c>
      <c r="B104">
        <v>88</v>
      </c>
      <c r="C104">
        <v>6</v>
      </c>
      <c r="D104" t="s">
        <v>42</v>
      </c>
      <c r="E104">
        <v>0</v>
      </c>
      <c r="F104">
        <v>0</v>
      </c>
      <c r="G104">
        <v>0</v>
      </c>
      <c r="I104">
        <v>0</v>
      </c>
      <c r="J104">
        <v>0</v>
      </c>
      <c r="K104">
        <v>0</v>
      </c>
      <c r="L104">
        <v>1</v>
      </c>
      <c r="N104">
        <v>2.46</v>
      </c>
      <c r="O104">
        <v>8570</v>
      </c>
      <c r="P104">
        <v>9.68</v>
      </c>
      <c r="Q104">
        <v>1</v>
      </c>
    </row>
    <row r="105" spans="1:17" x14ac:dyDescent="0.25">
      <c r="A105" t="s">
        <v>122</v>
      </c>
      <c r="B105">
        <v>89</v>
      </c>
      <c r="C105">
        <v>7</v>
      </c>
      <c r="D105" t="s">
        <v>42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1</v>
      </c>
      <c r="N105">
        <v>0.627</v>
      </c>
      <c r="O105">
        <v>4474</v>
      </c>
      <c r="P105">
        <v>2.5</v>
      </c>
      <c r="Q105">
        <v>1</v>
      </c>
    </row>
    <row r="106" spans="1:17" x14ac:dyDescent="0.25">
      <c r="A106" t="s">
        <v>123</v>
      </c>
      <c r="B106">
        <v>90</v>
      </c>
      <c r="C106">
        <v>8</v>
      </c>
      <c r="D106" t="s">
        <v>42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0</v>
      </c>
      <c r="L106">
        <v>1</v>
      </c>
      <c r="N106">
        <v>1.468</v>
      </c>
      <c r="O106">
        <v>6353</v>
      </c>
      <c r="P106">
        <v>5.79</v>
      </c>
      <c r="Q106">
        <v>1</v>
      </c>
    </row>
    <row r="107" spans="1:17" x14ac:dyDescent="0.25">
      <c r="A107" t="s">
        <v>124</v>
      </c>
      <c r="B107">
        <v>91</v>
      </c>
      <c r="C107">
        <v>9</v>
      </c>
      <c r="D107" t="s">
        <v>42</v>
      </c>
      <c r="E107">
        <v>0</v>
      </c>
      <c r="F107">
        <v>0</v>
      </c>
      <c r="G107">
        <v>0</v>
      </c>
      <c r="I107">
        <v>0</v>
      </c>
      <c r="J107">
        <v>0</v>
      </c>
      <c r="K107">
        <v>0</v>
      </c>
      <c r="L107">
        <v>1</v>
      </c>
      <c r="N107">
        <v>0.69699999999999995</v>
      </c>
      <c r="O107">
        <v>4630</v>
      </c>
      <c r="P107">
        <v>2.77</v>
      </c>
      <c r="Q107">
        <v>1</v>
      </c>
    </row>
    <row r="108" spans="1:17" x14ac:dyDescent="0.25">
      <c r="A108" t="s">
        <v>125</v>
      </c>
      <c r="B108">
        <v>92</v>
      </c>
      <c r="C108">
        <v>10</v>
      </c>
      <c r="D108" t="s">
        <v>42</v>
      </c>
      <c r="E108">
        <v>0</v>
      </c>
      <c r="F108">
        <v>0</v>
      </c>
      <c r="G108">
        <v>0</v>
      </c>
      <c r="I108">
        <v>0</v>
      </c>
      <c r="J108">
        <v>0</v>
      </c>
      <c r="K108">
        <v>0</v>
      </c>
      <c r="L108">
        <v>1</v>
      </c>
      <c r="N108">
        <v>3.5209999999999999</v>
      </c>
      <c r="O108">
        <v>10941</v>
      </c>
      <c r="P108">
        <v>13.84</v>
      </c>
      <c r="Q108">
        <v>1</v>
      </c>
    </row>
    <row r="109" spans="1:17" x14ac:dyDescent="0.25">
      <c r="A109" t="s">
        <v>126</v>
      </c>
      <c r="B109">
        <v>93</v>
      </c>
      <c r="C109">
        <v>11</v>
      </c>
      <c r="D109" t="s">
        <v>42</v>
      </c>
      <c r="E109">
        <v>0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1</v>
      </c>
      <c r="N109">
        <v>1.2749999999999999</v>
      </c>
      <c r="O109">
        <v>5923</v>
      </c>
      <c r="P109">
        <v>5.04</v>
      </c>
      <c r="Q109">
        <v>1</v>
      </c>
    </row>
    <row r="110" spans="1:17" x14ac:dyDescent="0.25">
      <c r="A110" t="s">
        <v>127</v>
      </c>
      <c r="B110">
        <v>94</v>
      </c>
      <c r="C110">
        <v>12</v>
      </c>
      <c r="D110" t="s">
        <v>42</v>
      </c>
      <c r="E110">
        <v>0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1</v>
      </c>
      <c r="N110">
        <v>0.64400000000000002</v>
      </c>
      <c r="O110">
        <v>4511</v>
      </c>
      <c r="P110">
        <v>2.56</v>
      </c>
      <c r="Q110">
        <v>1</v>
      </c>
    </row>
    <row r="111" spans="1:17" x14ac:dyDescent="0.25">
      <c r="A111" t="s">
        <v>128</v>
      </c>
      <c r="B111">
        <v>95</v>
      </c>
      <c r="C111">
        <v>13</v>
      </c>
      <c r="D111" t="s">
        <v>42</v>
      </c>
      <c r="E111">
        <v>0</v>
      </c>
      <c r="F111">
        <v>0</v>
      </c>
      <c r="G111">
        <v>0</v>
      </c>
      <c r="I111">
        <v>0</v>
      </c>
      <c r="J111">
        <v>0</v>
      </c>
      <c r="K111">
        <v>0</v>
      </c>
      <c r="L111">
        <v>1</v>
      </c>
      <c r="N111">
        <v>0.99299999999999999</v>
      </c>
      <c r="O111">
        <v>5292</v>
      </c>
      <c r="P111">
        <v>3.93</v>
      </c>
      <c r="Q111">
        <v>1</v>
      </c>
    </row>
    <row r="112" spans="1:17" x14ac:dyDescent="0.25">
      <c r="A112" t="s">
        <v>129</v>
      </c>
      <c r="B112">
        <v>96</v>
      </c>
      <c r="C112">
        <v>14</v>
      </c>
      <c r="D112" t="s">
        <v>42</v>
      </c>
      <c r="E112">
        <v>0</v>
      </c>
      <c r="F112">
        <v>0</v>
      </c>
      <c r="G112">
        <v>0</v>
      </c>
      <c r="I112">
        <v>0</v>
      </c>
      <c r="J112">
        <v>0</v>
      </c>
      <c r="K112">
        <v>0</v>
      </c>
      <c r="L112">
        <v>1</v>
      </c>
      <c r="N112">
        <v>14.468</v>
      </c>
      <c r="O112" s="3">
        <v>0</v>
      </c>
      <c r="P112" s="3">
        <v>-5.35</v>
      </c>
      <c r="Q112" s="3">
        <v>1</v>
      </c>
    </row>
    <row r="113" spans="1:17" x14ac:dyDescent="0.25">
      <c r="A113" s="3" t="s">
        <v>130</v>
      </c>
      <c r="B113" s="3">
        <v>97</v>
      </c>
      <c r="C113" s="3">
        <v>15</v>
      </c>
      <c r="D113" s="3" t="s">
        <v>42</v>
      </c>
      <c r="E113" s="3">
        <v>0</v>
      </c>
      <c r="F113" s="3">
        <v>0</v>
      </c>
      <c r="G113" s="3">
        <v>0</v>
      </c>
      <c r="H113" s="3"/>
      <c r="I113" s="3">
        <v>0</v>
      </c>
      <c r="J113" s="3">
        <v>0</v>
      </c>
      <c r="K113" s="3">
        <v>0</v>
      </c>
      <c r="L113" s="3">
        <v>1</v>
      </c>
      <c r="M113" s="3"/>
      <c r="N113" s="3">
        <v>0</v>
      </c>
      <c r="O113" s="3">
        <v>0</v>
      </c>
      <c r="P113" s="3">
        <v>-5.35</v>
      </c>
      <c r="Q113" s="3">
        <v>1</v>
      </c>
    </row>
    <row r="114" spans="1:17" x14ac:dyDescent="0.25">
      <c r="A114" s="3" t="s">
        <v>39</v>
      </c>
      <c r="B114" s="3">
        <v>98</v>
      </c>
      <c r="C114" s="3">
        <v>16</v>
      </c>
      <c r="D114" s="3" t="s">
        <v>40</v>
      </c>
      <c r="E114" s="3">
        <v>0</v>
      </c>
      <c r="F114" s="3">
        <v>0</v>
      </c>
      <c r="G114" s="3">
        <v>0</v>
      </c>
      <c r="H114" s="3"/>
      <c r="I114" s="3">
        <v>0</v>
      </c>
      <c r="J114" s="3">
        <v>0</v>
      </c>
      <c r="K114" s="3">
        <v>0</v>
      </c>
      <c r="L114" s="3">
        <v>1</v>
      </c>
      <c r="M114" s="3"/>
      <c r="N114" s="3">
        <v>0</v>
      </c>
      <c r="O114" s="3">
        <v>0</v>
      </c>
      <c r="P114" s="3">
        <v>-5.35</v>
      </c>
      <c r="Q114" s="3">
        <v>1</v>
      </c>
    </row>
    <row r="115" spans="1:17" x14ac:dyDescent="0.25">
      <c r="A115" s="3" t="s">
        <v>131</v>
      </c>
      <c r="B115" s="3">
        <v>99</v>
      </c>
      <c r="C115" s="3">
        <v>0</v>
      </c>
      <c r="D115" s="3" t="s">
        <v>132</v>
      </c>
      <c r="E115" s="3">
        <v>0</v>
      </c>
      <c r="F115" s="3">
        <v>0</v>
      </c>
      <c r="G115" s="3">
        <v>0</v>
      </c>
      <c r="H115" s="3"/>
      <c r="I115" s="3">
        <v>0</v>
      </c>
      <c r="J115" s="3">
        <v>0</v>
      </c>
      <c r="K115" s="3">
        <v>0</v>
      </c>
      <c r="L115" s="3">
        <v>1</v>
      </c>
      <c r="M115" s="3"/>
      <c r="N115" s="3">
        <v>0</v>
      </c>
      <c r="O115" s="3">
        <v>0</v>
      </c>
      <c r="P115" s="3">
        <v>-5.35</v>
      </c>
      <c r="Q11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A3BA-9D08-4EC4-8DE7-9F664795F6FF}">
  <dimension ref="A1:D23"/>
  <sheetViews>
    <sheetView workbookViewId="0">
      <selection activeCell="H27" sqref="H27"/>
    </sheetView>
  </sheetViews>
  <sheetFormatPr defaultRowHeight="15" x14ac:dyDescent="0.25"/>
  <cols>
    <col min="1" max="1" width="14.140625" style="4" bestFit="1" customWidth="1"/>
    <col min="2" max="2" width="13.28515625" style="4" bestFit="1" customWidth="1"/>
    <col min="3" max="3" width="14.85546875" style="4" bestFit="1" customWidth="1"/>
    <col min="4" max="4" width="7.42578125" style="4" bestFit="1" customWidth="1"/>
    <col min="5" max="16384" width="9.140625" style="4"/>
  </cols>
  <sheetData>
    <row r="1" spans="1:4" x14ac:dyDescent="0.25">
      <c r="A1" s="4" t="s">
        <v>25</v>
      </c>
      <c r="B1" s="5" t="s">
        <v>133</v>
      </c>
      <c r="C1" s="4" t="s">
        <v>135</v>
      </c>
      <c r="D1" s="4" t="s">
        <v>134</v>
      </c>
    </row>
    <row r="2" spans="1:4" x14ac:dyDescent="0.25">
      <c r="A2" s="4">
        <v>25</v>
      </c>
      <c r="B2">
        <v>58700</v>
      </c>
      <c r="C2">
        <v>24.891999999999999</v>
      </c>
      <c r="D2" s="6">
        <f>C2/A2*100</f>
        <v>99.567999999999998</v>
      </c>
    </row>
    <row r="3" spans="1:4" x14ac:dyDescent="0.25">
      <c r="A3" s="4">
        <v>12.5</v>
      </c>
      <c r="B3">
        <v>31681</v>
      </c>
      <c r="C3">
        <v>12.802</v>
      </c>
      <c r="D3" s="6">
        <f>C3/A3*100</f>
        <v>102.416</v>
      </c>
    </row>
    <row r="4" spans="1:4" x14ac:dyDescent="0.25">
      <c r="A4" s="4">
        <v>5</v>
      </c>
      <c r="B4">
        <v>13874</v>
      </c>
      <c r="C4">
        <v>4.8330000000000002</v>
      </c>
      <c r="D4" s="7">
        <f>C4/A4*100</f>
        <v>96.66</v>
      </c>
    </row>
    <row r="5" spans="1:4" x14ac:dyDescent="0.25">
      <c r="A5" s="4">
        <v>2.5</v>
      </c>
      <c r="B5">
        <v>8356</v>
      </c>
      <c r="C5">
        <v>2.3639999999999999</v>
      </c>
      <c r="D5" s="6">
        <f>C5/A5*100</f>
        <v>94.56</v>
      </c>
    </row>
    <row r="6" spans="1:4" x14ac:dyDescent="0.25">
      <c r="A6" s="4">
        <v>1</v>
      </c>
      <c r="B6">
        <v>4966</v>
      </c>
      <c r="C6">
        <v>0.84699999999999998</v>
      </c>
      <c r="D6" s="7">
        <f>C6/A6*100</f>
        <v>84.7</v>
      </c>
    </row>
    <row r="7" spans="1:4" x14ac:dyDescent="0.25">
      <c r="A7" s="4">
        <v>0</v>
      </c>
      <c r="B7">
        <v>3680</v>
      </c>
      <c r="C7">
        <v>0.27200000000000002</v>
      </c>
      <c r="D7" s="6"/>
    </row>
    <row r="10" spans="1:4" x14ac:dyDescent="0.25">
      <c r="A10" s="5" t="s">
        <v>133</v>
      </c>
      <c r="B10" s="4" t="s">
        <v>25</v>
      </c>
    </row>
    <row r="11" spans="1:4" x14ac:dyDescent="0.25">
      <c r="A11">
        <v>58700</v>
      </c>
      <c r="B11">
        <v>24.891999999999999</v>
      </c>
    </row>
    <row r="12" spans="1:4" x14ac:dyDescent="0.25">
      <c r="A12">
        <v>31681</v>
      </c>
      <c r="B12">
        <v>12.802</v>
      </c>
    </row>
    <row r="13" spans="1:4" x14ac:dyDescent="0.25">
      <c r="A13">
        <v>13874</v>
      </c>
      <c r="B13">
        <v>4.8330000000000002</v>
      </c>
    </row>
    <row r="14" spans="1:4" x14ac:dyDescent="0.25">
      <c r="A14">
        <v>8356</v>
      </c>
      <c r="B14">
        <v>2.3639999999999999</v>
      </c>
    </row>
    <row r="15" spans="1:4" x14ac:dyDescent="0.25">
      <c r="A15">
        <v>4966</v>
      </c>
      <c r="B15">
        <v>0.84699999999999998</v>
      </c>
    </row>
    <row r="16" spans="1:4" x14ac:dyDescent="0.25">
      <c r="A16">
        <v>3680</v>
      </c>
      <c r="B16">
        <v>0.27200000000000002</v>
      </c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  <c r="D21"/>
    </row>
    <row r="22" spans="3:4" x14ac:dyDescent="0.25">
      <c r="C22"/>
      <c r="D22"/>
    </row>
    <row r="23" spans="3:4" x14ac:dyDescent="0.25">
      <c r="C23"/>
      <c r="D2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3C7C-0896-4981-9E3D-6B8C1CDCD012}">
  <dimension ref="A1:D21"/>
  <sheetViews>
    <sheetView workbookViewId="0">
      <selection activeCell="F16" sqref="F16"/>
    </sheetView>
  </sheetViews>
  <sheetFormatPr defaultRowHeight="15" x14ac:dyDescent="0.25"/>
  <cols>
    <col min="1" max="1" width="14.85546875" style="4" bestFit="1" customWidth="1"/>
    <col min="2" max="16384" width="9.140625" style="4"/>
  </cols>
  <sheetData>
    <row r="1" spans="1:4" x14ac:dyDescent="0.25">
      <c r="A1" s="4" t="s">
        <v>25</v>
      </c>
      <c r="B1" s="5" t="s">
        <v>36</v>
      </c>
      <c r="C1" s="4" t="s">
        <v>134</v>
      </c>
    </row>
    <row r="2" spans="1:4" x14ac:dyDescent="0.25">
      <c r="A2" s="4" t="s">
        <v>137</v>
      </c>
      <c r="B2" s="4">
        <v>27.55</v>
      </c>
      <c r="C2" s="10">
        <f>B2/30*100</f>
        <v>91.833333333333329</v>
      </c>
    </row>
    <row r="3" spans="1:4" x14ac:dyDescent="0.25">
      <c r="A3" s="12" t="s">
        <v>43</v>
      </c>
      <c r="B3" s="12">
        <v>0.20699999999999999</v>
      </c>
      <c r="C3" s="11">
        <f>B3/0.5*100</f>
        <v>41.4</v>
      </c>
    </row>
    <row r="4" spans="1:4" x14ac:dyDescent="0.25">
      <c r="A4" s="9" t="s">
        <v>48</v>
      </c>
      <c r="B4" s="4">
        <v>10.166</v>
      </c>
      <c r="C4" s="10">
        <f>B4/12.5*100</f>
        <v>81.328000000000003</v>
      </c>
    </row>
    <row r="5" spans="1:4" x14ac:dyDescent="0.25">
      <c r="A5" s="4" t="s">
        <v>49</v>
      </c>
      <c r="B5" s="4">
        <v>13.141</v>
      </c>
      <c r="C5" s="10">
        <f>B5/12.5*100</f>
        <v>105.128</v>
      </c>
    </row>
    <row r="6" spans="1:4" x14ac:dyDescent="0.25">
      <c r="A6" s="4" t="s">
        <v>61</v>
      </c>
      <c r="B6" s="4">
        <v>13.714</v>
      </c>
      <c r="C6" s="10">
        <f>B6/12.5*100</f>
        <v>109.712</v>
      </c>
    </row>
    <row r="7" spans="1:4" x14ac:dyDescent="0.25">
      <c r="A7" s="4" t="s">
        <v>73</v>
      </c>
      <c r="B7" s="4">
        <v>14.103999999999999</v>
      </c>
      <c r="C7" s="10">
        <f>B7/12.5*100</f>
        <v>112.83199999999999</v>
      </c>
    </row>
    <row r="8" spans="1:4" x14ac:dyDescent="0.25">
      <c r="A8" s="4" t="s">
        <v>87</v>
      </c>
      <c r="B8" s="4">
        <v>14.632999999999999</v>
      </c>
      <c r="C8" s="10">
        <f>B8/12.5*100</f>
        <v>117.06399999999999</v>
      </c>
    </row>
    <row r="9" spans="1:4" x14ac:dyDescent="0.25">
      <c r="A9" s="4" t="s">
        <v>99</v>
      </c>
      <c r="B9" s="4">
        <v>14.944000000000001</v>
      </c>
      <c r="C9" s="10">
        <f>B9/12.5*100</f>
        <v>119.55200000000002</v>
      </c>
      <c r="D9" s="9"/>
    </row>
    <row r="10" spans="1:4" x14ac:dyDescent="0.25">
      <c r="A10" s="4" t="s">
        <v>110</v>
      </c>
      <c r="B10" s="4">
        <v>15.097</v>
      </c>
      <c r="C10" s="10">
        <f>B10/12.5*100</f>
        <v>120.776</v>
      </c>
      <c r="D10" s="9"/>
    </row>
    <row r="11" spans="1:4" x14ac:dyDescent="0.25">
      <c r="A11" s="4" t="s">
        <v>129</v>
      </c>
      <c r="B11" s="4">
        <v>14.468</v>
      </c>
      <c r="C11" s="10">
        <f>B11/12.5*100</f>
        <v>115.744</v>
      </c>
      <c r="D11" s="9"/>
    </row>
    <row r="12" spans="1:4" x14ac:dyDescent="0.25">
      <c r="C12" s="7"/>
      <c r="D12" s="9"/>
    </row>
    <row r="13" spans="1:4" x14ac:dyDescent="0.25">
      <c r="A13" s="4" t="s">
        <v>47</v>
      </c>
      <c r="B13">
        <v>-0.13900000000000001</v>
      </c>
      <c r="C13" s="7"/>
    </row>
    <row r="14" spans="1:4" x14ac:dyDescent="0.25">
      <c r="A14" s="4" t="s">
        <v>50</v>
      </c>
      <c r="B14">
        <v>0.222</v>
      </c>
      <c r="C14" s="7"/>
    </row>
    <row r="15" spans="1:4" x14ac:dyDescent="0.25">
      <c r="A15" s="4" t="s">
        <v>62</v>
      </c>
      <c r="B15">
        <v>0.253</v>
      </c>
      <c r="C15" s="7"/>
    </row>
    <row r="16" spans="1:4" x14ac:dyDescent="0.25">
      <c r="A16" s="4" t="s">
        <v>76</v>
      </c>
      <c r="B16">
        <v>0.54700000000000004</v>
      </c>
    </row>
    <row r="17" spans="1:2" x14ac:dyDescent="0.25">
      <c r="A17" s="4" t="s">
        <v>88</v>
      </c>
      <c r="B17">
        <v>0.91600000000000004</v>
      </c>
    </row>
    <row r="18" spans="1:2" x14ac:dyDescent="0.25">
      <c r="A18" s="4" t="s">
        <v>100</v>
      </c>
      <c r="B18">
        <v>0.66100000000000003</v>
      </c>
    </row>
    <row r="19" spans="1:2" x14ac:dyDescent="0.25">
      <c r="A19" s="4" t="s">
        <v>111</v>
      </c>
      <c r="B19">
        <v>0.90600000000000003</v>
      </c>
    </row>
    <row r="21" spans="1:2" x14ac:dyDescent="0.25">
      <c r="A21" s="8" t="s">
        <v>136</v>
      </c>
      <c r="B21" s="8">
        <f>AVERAGE(B13:B19)</f>
        <v>0.48085714285714287</v>
      </c>
    </row>
  </sheetData>
  <phoneticPr fontId="22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991D-4247-4809-B65E-872D26DC73EA}">
  <dimension ref="A1:E77"/>
  <sheetViews>
    <sheetView tabSelected="1" workbookViewId="0">
      <selection activeCell="B3" sqref="B3:B12"/>
    </sheetView>
  </sheetViews>
  <sheetFormatPr defaultColWidth="9.140625" defaultRowHeight="15" x14ac:dyDescent="0.25"/>
  <cols>
    <col min="1" max="1" width="18.28515625" style="14" bestFit="1" customWidth="1"/>
    <col min="2" max="2" width="8" style="13" bestFit="1" customWidth="1"/>
    <col min="3" max="4" width="9.140625" style="4"/>
    <col min="5" max="5" width="9.140625" style="7"/>
    <col min="6" max="16384" width="9.140625" style="4"/>
  </cols>
  <sheetData>
    <row r="1" spans="1:5" s="15" customFormat="1" x14ac:dyDescent="0.25">
      <c r="A1" s="17" t="s">
        <v>25</v>
      </c>
      <c r="B1" s="17" t="s">
        <v>138</v>
      </c>
      <c r="E1" s="16"/>
    </row>
    <row r="2" spans="1:5" x14ac:dyDescent="0.25">
      <c r="A2" t="s">
        <v>51</v>
      </c>
      <c r="B2">
        <v>16.667999999999999</v>
      </c>
      <c r="C2" s="9">
        <f>B2*20</f>
        <v>333.36</v>
      </c>
      <c r="E2" s="4"/>
    </row>
    <row r="3" spans="1:5" x14ac:dyDescent="0.25">
      <c r="A3" t="s">
        <v>52</v>
      </c>
      <c r="B3" s="50">
        <v>0.64400000000000002</v>
      </c>
      <c r="C3" s="9"/>
      <c r="E3" s="4"/>
    </row>
    <row r="4" spans="1:5" x14ac:dyDescent="0.25">
      <c r="A4" t="s">
        <v>53</v>
      </c>
      <c r="B4" s="50">
        <v>0.51800000000000002</v>
      </c>
      <c r="C4" s="12"/>
      <c r="E4" s="4"/>
    </row>
    <row r="5" spans="1:5" x14ac:dyDescent="0.25">
      <c r="A5" t="s">
        <v>54</v>
      </c>
      <c r="B5" s="50">
        <v>0.22500000000000001</v>
      </c>
      <c r="C5" s="9"/>
      <c r="E5" s="4"/>
    </row>
    <row r="6" spans="1:5" x14ac:dyDescent="0.25">
      <c r="A6" t="s">
        <v>55</v>
      </c>
      <c r="B6" s="50">
        <v>0.214</v>
      </c>
      <c r="C6" s="9"/>
      <c r="E6" s="4"/>
    </row>
    <row r="7" spans="1:5" x14ac:dyDescent="0.25">
      <c r="A7" t="s">
        <v>56</v>
      </c>
      <c r="B7" s="50">
        <v>0.23499999999999999</v>
      </c>
      <c r="C7" s="9"/>
      <c r="E7" s="4"/>
    </row>
    <row r="8" spans="1:5" x14ac:dyDescent="0.25">
      <c r="A8" t="s">
        <v>57</v>
      </c>
      <c r="B8" s="50">
        <v>0.125</v>
      </c>
      <c r="C8" s="9"/>
      <c r="E8" s="4"/>
    </row>
    <row r="9" spans="1:5" x14ac:dyDescent="0.25">
      <c r="A9" t="s">
        <v>58</v>
      </c>
      <c r="B9" s="50">
        <v>0.44600000000000001</v>
      </c>
      <c r="C9" s="9"/>
      <c r="E9" s="4"/>
    </row>
    <row r="10" spans="1:5" x14ac:dyDescent="0.25">
      <c r="A10" t="s">
        <v>59</v>
      </c>
      <c r="B10" s="50">
        <v>0.24299999999999999</v>
      </c>
      <c r="C10" s="9"/>
      <c r="E10" s="4"/>
    </row>
    <row r="11" spans="1:5" x14ac:dyDescent="0.25">
      <c r="A11" t="s">
        <v>60</v>
      </c>
      <c r="B11" s="50">
        <v>0.26</v>
      </c>
      <c r="C11" s="9"/>
      <c r="E11" s="4"/>
    </row>
    <row r="12" spans="1:5" x14ac:dyDescent="0.25">
      <c r="A12" t="s">
        <v>63</v>
      </c>
      <c r="B12">
        <v>1.0269999999999999</v>
      </c>
      <c r="C12" s="9"/>
      <c r="E12" s="4"/>
    </row>
    <row r="13" spans="1:5" x14ac:dyDescent="0.25">
      <c r="A13" t="s">
        <v>64</v>
      </c>
      <c r="B13" s="50">
        <v>0.57599999999999996</v>
      </c>
      <c r="C13" s="9"/>
      <c r="E13" s="4"/>
    </row>
    <row r="14" spans="1:5" x14ac:dyDescent="0.25">
      <c r="A14" t="s">
        <v>65</v>
      </c>
      <c r="B14">
        <v>1.0329999999999999</v>
      </c>
      <c r="C14" s="9"/>
      <c r="E14" s="4"/>
    </row>
    <row r="15" spans="1:5" x14ac:dyDescent="0.25">
      <c r="A15" t="s">
        <v>66</v>
      </c>
      <c r="B15">
        <v>3.7450000000000001</v>
      </c>
      <c r="C15" s="9"/>
      <c r="E15" s="4"/>
    </row>
    <row r="16" spans="1:5" x14ac:dyDescent="0.25">
      <c r="A16" t="s">
        <v>67</v>
      </c>
      <c r="B16">
        <v>2.7519999999999998</v>
      </c>
      <c r="C16" s="9"/>
      <c r="E16" s="4"/>
    </row>
    <row r="17" spans="1:5" x14ac:dyDescent="0.25">
      <c r="A17" t="s">
        <v>68</v>
      </c>
      <c r="B17">
        <v>1.1279999999999999</v>
      </c>
      <c r="C17" s="9"/>
      <c r="E17" s="4"/>
    </row>
    <row r="18" spans="1:5" x14ac:dyDescent="0.25">
      <c r="A18" t="s">
        <v>69</v>
      </c>
      <c r="B18" s="50">
        <v>0.99299999999999999</v>
      </c>
      <c r="C18" s="9"/>
      <c r="E18" s="4"/>
    </row>
    <row r="19" spans="1:5" x14ac:dyDescent="0.25">
      <c r="A19" t="s">
        <v>70</v>
      </c>
      <c r="B19">
        <v>1.1439999999999999</v>
      </c>
      <c r="C19" s="9"/>
      <c r="E19" s="4"/>
    </row>
    <row r="20" spans="1:5" x14ac:dyDescent="0.25">
      <c r="A20" t="s">
        <v>71</v>
      </c>
      <c r="B20" s="50">
        <v>0.89300000000000002</v>
      </c>
      <c r="C20" s="9"/>
      <c r="E20" s="4"/>
    </row>
    <row r="21" spans="1:5" x14ac:dyDescent="0.25">
      <c r="A21" t="s">
        <v>72</v>
      </c>
      <c r="B21">
        <v>2.6549999999999998</v>
      </c>
      <c r="C21" s="9"/>
      <c r="E21" s="4"/>
    </row>
    <row r="22" spans="1:5" x14ac:dyDescent="0.25">
      <c r="A22" t="s">
        <v>77</v>
      </c>
      <c r="B22">
        <v>3.5590000000000002</v>
      </c>
      <c r="C22" s="9"/>
      <c r="E22" s="4"/>
    </row>
    <row r="23" spans="1:5" x14ac:dyDescent="0.25">
      <c r="A23" t="s">
        <v>78</v>
      </c>
      <c r="B23">
        <v>1.3959999999999999</v>
      </c>
      <c r="C23" s="9"/>
      <c r="E23" s="4"/>
    </row>
    <row r="24" spans="1:5" x14ac:dyDescent="0.25">
      <c r="A24" t="s">
        <v>79</v>
      </c>
      <c r="B24">
        <v>1.8640000000000001</v>
      </c>
      <c r="C24" s="9"/>
      <c r="E24" s="4"/>
    </row>
    <row r="25" spans="1:5" x14ac:dyDescent="0.25">
      <c r="A25" t="s">
        <v>80</v>
      </c>
      <c r="B25">
        <v>2.0750000000000002</v>
      </c>
      <c r="C25" s="9"/>
      <c r="E25" s="4"/>
    </row>
    <row r="26" spans="1:5" x14ac:dyDescent="0.25">
      <c r="A26" t="s">
        <v>81</v>
      </c>
      <c r="B26">
        <v>2.6360000000000001</v>
      </c>
      <c r="C26" s="9"/>
      <c r="E26" s="4"/>
    </row>
    <row r="27" spans="1:5" x14ac:dyDescent="0.25">
      <c r="A27" t="s">
        <v>82</v>
      </c>
      <c r="B27">
        <v>1.2529999999999999</v>
      </c>
      <c r="C27" s="9"/>
      <c r="E27" s="4"/>
    </row>
    <row r="28" spans="1:5" x14ac:dyDescent="0.25">
      <c r="A28" t="s">
        <v>83</v>
      </c>
      <c r="B28">
        <v>1.6140000000000001</v>
      </c>
      <c r="C28" s="9"/>
      <c r="E28" s="4"/>
    </row>
    <row r="29" spans="1:5" x14ac:dyDescent="0.25">
      <c r="A29" t="s">
        <v>84</v>
      </c>
      <c r="B29">
        <v>2.0249999999999999</v>
      </c>
      <c r="C29" s="9"/>
      <c r="E29" s="4"/>
    </row>
    <row r="30" spans="1:5" x14ac:dyDescent="0.25">
      <c r="A30" t="s">
        <v>85</v>
      </c>
      <c r="B30">
        <v>2.8119999999999998</v>
      </c>
      <c r="C30" s="9"/>
      <c r="E30" s="4"/>
    </row>
    <row r="31" spans="1:5" x14ac:dyDescent="0.25">
      <c r="A31" t="s">
        <v>86</v>
      </c>
      <c r="B31">
        <v>2.78</v>
      </c>
      <c r="C31" s="9"/>
      <c r="E31" s="4"/>
    </row>
    <row r="32" spans="1:5" x14ac:dyDescent="0.25">
      <c r="A32" t="s">
        <v>89</v>
      </c>
      <c r="B32">
        <v>8.5120000000000005</v>
      </c>
      <c r="C32" s="9"/>
      <c r="E32" s="4"/>
    </row>
    <row r="33" spans="1:5" x14ac:dyDescent="0.25">
      <c r="A33" t="s">
        <v>90</v>
      </c>
      <c r="B33">
        <v>1.7070000000000001</v>
      </c>
      <c r="C33" s="9"/>
      <c r="E33" s="4"/>
    </row>
    <row r="34" spans="1:5" x14ac:dyDescent="0.25">
      <c r="A34" t="s">
        <v>91</v>
      </c>
      <c r="B34">
        <v>3.8330000000000002</v>
      </c>
      <c r="C34" s="9"/>
      <c r="E34" s="4"/>
    </row>
    <row r="35" spans="1:5" x14ac:dyDescent="0.25">
      <c r="A35" t="s">
        <v>92</v>
      </c>
      <c r="B35">
        <v>6.7510000000000003</v>
      </c>
      <c r="C35" s="9"/>
      <c r="E35" s="4"/>
    </row>
    <row r="36" spans="1:5" x14ac:dyDescent="0.25">
      <c r="A36" t="s">
        <v>93</v>
      </c>
      <c r="B36">
        <v>1.454</v>
      </c>
      <c r="C36" s="9"/>
      <c r="E36" s="4"/>
    </row>
    <row r="37" spans="1:5" x14ac:dyDescent="0.25">
      <c r="A37" t="s">
        <v>94</v>
      </c>
      <c r="B37">
        <v>6.4809999999999999</v>
      </c>
      <c r="C37" s="7"/>
      <c r="E37" s="4"/>
    </row>
    <row r="38" spans="1:5" x14ac:dyDescent="0.25">
      <c r="A38" t="s">
        <v>95</v>
      </c>
      <c r="B38">
        <v>1.7729999999999999</v>
      </c>
      <c r="C38" s="7"/>
      <c r="E38" s="4"/>
    </row>
    <row r="39" spans="1:5" x14ac:dyDescent="0.25">
      <c r="A39" t="s">
        <v>96</v>
      </c>
      <c r="B39">
        <v>1.08</v>
      </c>
      <c r="C39" s="7"/>
      <c r="E39" s="4"/>
    </row>
    <row r="40" spans="1:5" x14ac:dyDescent="0.25">
      <c r="A40" t="s">
        <v>97</v>
      </c>
      <c r="B40">
        <v>12.326000000000001</v>
      </c>
      <c r="C40" s="7"/>
      <c r="E40" s="4"/>
    </row>
    <row r="41" spans="1:5" x14ac:dyDescent="0.25">
      <c r="A41" t="s">
        <v>98</v>
      </c>
      <c r="B41" s="50">
        <v>0.96699999999999997</v>
      </c>
      <c r="C41" s="7"/>
      <c r="E41" s="4"/>
    </row>
    <row r="42" spans="1:5" x14ac:dyDescent="0.25">
      <c r="A42" t="s">
        <v>101</v>
      </c>
      <c r="B42">
        <v>1.1419999999999999</v>
      </c>
      <c r="C42" s="7"/>
      <c r="E42" s="4"/>
    </row>
    <row r="43" spans="1:5" x14ac:dyDescent="0.25">
      <c r="A43" t="s">
        <v>102</v>
      </c>
      <c r="B43">
        <v>2.2120000000000002</v>
      </c>
      <c r="C43" s="7"/>
      <c r="E43" s="4"/>
    </row>
    <row r="44" spans="1:5" x14ac:dyDescent="0.25">
      <c r="A44" t="s">
        <v>103</v>
      </c>
      <c r="B44">
        <v>6.54</v>
      </c>
      <c r="C44" s="7"/>
      <c r="E44" s="4"/>
    </row>
    <row r="45" spans="1:5" x14ac:dyDescent="0.25">
      <c r="A45" t="s">
        <v>104</v>
      </c>
      <c r="B45">
        <v>1.1459999999999999</v>
      </c>
      <c r="C45" s="7"/>
      <c r="E45" s="4"/>
    </row>
    <row r="46" spans="1:5" x14ac:dyDescent="0.25">
      <c r="A46" t="s">
        <v>105</v>
      </c>
      <c r="B46">
        <v>2.6389999999999998</v>
      </c>
      <c r="C46" s="7"/>
      <c r="E46" s="4"/>
    </row>
    <row r="47" spans="1:5" x14ac:dyDescent="0.25">
      <c r="A47" t="s">
        <v>106</v>
      </c>
      <c r="B47">
        <v>5.1879999999999997</v>
      </c>
      <c r="C47" s="7"/>
      <c r="E47" s="4"/>
    </row>
    <row r="48" spans="1:5" x14ac:dyDescent="0.25">
      <c r="A48" t="s">
        <v>107</v>
      </c>
      <c r="B48">
        <v>1.631</v>
      </c>
      <c r="C48" s="7"/>
      <c r="E48" s="4"/>
    </row>
    <row r="49" spans="1:5" x14ac:dyDescent="0.25">
      <c r="A49" t="s">
        <v>108</v>
      </c>
      <c r="B49">
        <v>2.7890000000000001</v>
      </c>
      <c r="C49" s="7"/>
      <c r="E49" s="4"/>
    </row>
    <row r="50" spans="1:5" x14ac:dyDescent="0.25">
      <c r="A50" t="s">
        <v>109</v>
      </c>
      <c r="B50">
        <v>1.46</v>
      </c>
      <c r="C50" s="7"/>
      <c r="E50" s="4"/>
    </row>
    <row r="51" spans="1:5" x14ac:dyDescent="0.25">
      <c r="A51" t="s">
        <v>112</v>
      </c>
      <c r="B51" s="50">
        <v>0.97</v>
      </c>
      <c r="C51" s="7"/>
      <c r="E51" s="4"/>
    </row>
    <row r="52" spans="1:5" x14ac:dyDescent="0.25">
      <c r="A52" t="s">
        <v>113</v>
      </c>
      <c r="B52">
        <v>1.6910000000000001</v>
      </c>
      <c r="C52" s="7"/>
      <c r="E52" s="4"/>
    </row>
    <row r="53" spans="1:5" x14ac:dyDescent="0.25">
      <c r="A53" t="s">
        <v>114</v>
      </c>
      <c r="B53">
        <v>1.5529999999999999</v>
      </c>
      <c r="C53" s="7"/>
      <c r="E53" s="4"/>
    </row>
    <row r="54" spans="1:5" x14ac:dyDescent="0.25">
      <c r="A54" t="s">
        <v>115</v>
      </c>
      <c r="B54">
        <v>1.5229999999999999</v>
      </c>
      <c r="C54" s="7"/>
      <c r="E54" s="4"/>
    </row>
    <row r="55" spans="1:5" x14ac:dyDescent="0.25">
      <c r="A55" t="s">
        <v>116</v>
      </c>
      <c r="B55">
        <v>2.254</v>
      </c>
      <c r="C55" s="7"/>
      <c r="E55" s="4"/>
    </row>
    <row r="56" spans="1:5" x14ac:dyDescent="0.25">
      <c r="A56" t="s">
        <v>117</v>
      </c>
      <c r="B56">
        <v>1.7989999999999999</v>
      </c>
      <c r="C56" s="7"/>
      <c r="E56" s="4"/>
    </row>
    <row r="57" spans="1:5" x14ac:dyDescent="0.25">
      <c r="A57" t="s">
        <v>118</v>
      </c>
      <c r="B57">
        <v>1.1659999999999999</v>
      </c>
      <c r="C57" s="7"/>
      <c r="E57" s="4"/>
    </row>
    <row r="58" spans="1:5" x14ac:dyDescent="0.25">
      <c r="A58" t="s">
        <v>119</v>
      </c>
      <c r="B58">
        <v>1.8919999999999999</v>
      </c>
      <c r="C58" s="7"/>
      <c r="E58" s="4"/>
    </row>
    <row r="59" spans="1:5" x14ac:dyDescent="0.25">
      <c r="A59" t="s">
        <v>120</v>
      </c>
      <c r="B59" s="50">
        <v>0.94799999999999995</v>
      </c>
      <c r="C59" s="7"/>
      <c r="E59" s="4"/>
    </row>
    <row r="60" spans="1:5" x14ac:dyDescent="0.25">
      <c r="A60" t="s">
        <v>121</v>
      </c>
      <c r="B60">
        <v>2.46</v>
      </c>
      <c r="C60" s="7"/>
      <c r="E60" s="4"/>
    </row>
    <row r="61" spans="1:5" x14ac:dyDescent="0.25">
      <c r="A61" t="s">
        <v>122</v>
      </c>
      <c r="B61" s="50">
        <v>0.627</v>
      </c>
      <c r="C61" s="7"/>
      <c r="E61" s="4"/>
    </row>
    <row r="62" spans="1:5" x14ac:dyDescent="0.25">
      <c r="A62" t="s">
        <v>123</v>
      </c>
      <c r="B62">
        <v>1.468</v>
      </c>
      <c r="C62" s="7"/>
      <c r="E62" s="4"/>
    </row>
    <row r="63" spans="1:5" x14ac:dyDescent="0.25">
      <c r="A63" t="s">
        <v>124</v>
      </c>
      <c r="B63" s="50">
        <v>0.69699999999999995</v>
      </c>
      <c r="C63" s="7"/>
      <c r="E63" s="4"/>
    </row>
    <row r="64" spans="1:5" x14ac:dyDescent="0.25">
      <c r="A64" t="s">
        <v>125</v>
      </c>
      <c r="B64">
        <v>3.5209999999999999</v>
      </c>
      <c r="C64" s="7"/>
      <c r="E64" s="4"/>
    </row>
    <row r="65" spans="1:5" x14ac:dyDescent="0.25">
      <c r="A65" t="s">
        <v>126</v>
      </c>
      <c r="B65">
        <v>1.2749999999999999</v>
      </c>
      <c r="C65" s="7"/>
      <c r="E65" s="4"/>
    </row>
    <row r="66" spans="1:5" x14ac:dyDescent="0.25">
      <c r="A66" t="s">
        <v>127</v>
      </c>
      <c r="B66" s="50">
        <v>0.64400000000000002</v>
      </c>
      <c r="C66" s="7"/>
      <c r="E66" s="4"/>
    </row>
    <row r="67" spans="1:5" x14ac:dyDescent="0.25">
      <c r="A67" t="s">
        <v>128</v>
      </c>
      <c r="B67" s="50">
        <v>0.99299999999999999</v>
      </c>
      <c r="C67" s="7"/>
      <c r="E67" s="4"/>
    </row>
    <row r="68" spans="1:5" x14ac:dyDescent="0.25">
      <c r="A68" s="4"/>
      <c r="B68" s="4"/>
      <c r="C68" s="7"/>
      <c r="E68" s="4"/>
    </row>
    <row r="69" spans="1:5" x14ac:dyDescent="0.25">
      <c r="A69" s="4"/>
      <c r="B69" s="4"/>
      <c r="C69" s="7"/>
      <c r="E69" s="4"/>
    </row>
    <row r="70" spans="1:5" x14ac:dyDescent="0.25">
      <c r="A70" s="4"/>
      <c r="B70" s="4"/>
      <c r="C70" s="7"/>
      <c r="E70" s="4"/>
    </row>
    <row r="71" spans="1:5" x14ac:dyDescent="0.25">
      <c r="A71" s="4"/>
      <c r="B71" s="4"/>
      <c r="C71" s="7"/>
      <c r="E71" s="4"/>
    </row>
    <row r="72" spans="1:5" x14ac:dyDescent="0.25">
      <c r="A72" s="4"/>
      <c r="B72" s="4"/>
      <c r="C72" s="7"/>
      <c r="E72" s="4"/>
    </row>
    <row r="73" spans="1:5" x14ac:dyDescent="0.25">
      <c r="A73" s="4"/>
      <c r="B73" s="4"/>
      <c r="C73" s="7"/>
      <c r="E73" s="4"/>
    </row>
    <row r="74" spans="1:5" x14ac:dyDescent="0.25">
      <c r="A74" s="4"/>
      <c r="B74" s="4"/>
      <c r="C74" s="7"/>
      <c r="E74" s="4"/>
    </row>
    <row r="75" spans="1:5" x14ac:dyDescent="0.25">
      <c r="A75" s="4"/>
      <c r="B75" s="4"/>
      <c r="C75" s="7"/>
      <c r="E75" s="4"/>
    </row>
    <row r="76" spans="1:5" x14ac:dyDescent="0.25">
      <c r="A76" s="4"/>
      <c r="B76" s="4"/>
      <c r="C76" s="7"/>
      <c r="E76" s="4"/>
    </row>
    <row r="77" spans="1:5" x14ac:dyDescent="0.25">
      <c r="A77" s="4"/>
      <c r="B77" s="4"/>
      <c r="C77" s="7"/>
      <c r="E77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7313-7DDD-49A2-AA0B-4421103A8CD7}">
  <dimension ref="B1:F32"/>
  <sheetViews>
    <sheetView workbookViewId="0">
      <selection activeCell="I29" sqref="I29"/>
    </sheetView>
  </sheetViews>
  <sheetFormatPr defaultColWidth="9.140625" defaultRowHeight="15" x14ac:dyDescent="0.25"/>
  <cols>
    <col min="1" max="1" width="9.140625" style="18"/>
    <col min="2" max="2" width="27" style="18" bestFit="1" customWidth="1"/>
    <col min="3" max="3" width="17.5703125" style="18" customWidth="1"/>
    <col min="4" max="4" width="20" style="18" bestFit="1" customWidth="1"/>
    <col min="5" max="5" width="15.85546875" style="18" customWidth="1"/>
    <col min="6" max="6" width="23.5703125" style="18" customWidth="1"/>
    <col min="7" max="16384" width="9.140625" style="18"/>
  </cols>
  <sheetData>
    <row r="1" spans="2:6" x14ac:dyDescent="0.25">
      <c r="C1" s="48" t="s">
        <v>166</v>
      </c>
      <c r="D1" s="48"/>
      <c r="E1" s="48"/>
    </row>
    <row r="2" spans="2:6" x14ac:dyDescent="0.25">
      <c r="C2" s="48" t="s">
        <v>165</v>
      </c>
      <c r="D2" s="49"/>
      <c r="E2" s="49"/>
    </row>
    <row r="3" spans="2:6" x14ac:dyDescent="0.25">
      <c r="C3" s="48" t="s">
        <v>164</v>
      </c>
      <c r="D3" s="48"/>
      <c r="E3" s="48"/>
    </row>
    <row r="5" spans="2:6" x14ac:dyDescent="0.25">
      <c r="B5" s="44" t="s">
        <v>163</v>
      </c>
      <c r="C5" s="47" t="s">
        <v>142</v>
      </c>
      <c r="D5" s="46"/>
      <c r="E5" s="44" t="s">
        <v>162</v>
      </c>
      <c r="F5" s="29"/>
    </row>
    <row r="6" spans="2:6" x14ac:dyDescent="0.25">
      <c r="B6" s="44" t="s">
        <v>161</v>
      </c>
      <c r="C6" s="45">
        <v>45680</v>
      </c>
      <c r="D6" s="29"/>
      <c r="E6" s="44" t="s">
        <v>160</v>
      </c>
      <c r="F6" s="29"/>
    </row>
    <row r="7" spans="2:6" ht="15.75" thickBot="1" x14ac:dyDescent="0.3">
      <c r="B7" s="43"/>
      <c r="C7" s="43"/>
      <c r="D7" s="43"/>
      <c r="E7" s="43"/>
      <c r="F7" s="43"/>
    </row>
    <row r="8" spans="2:6" ht="30.75" thickBot="1" x14ac:dyDescent="0.3">
      <c r="B8" s="42" t="s">
        <v>159</v>
      </c>
      <c r="C8" s="41" t="s">
        <v>158</v>
      </c>
      <c r="D8" s="41" t="s">
        <v>157</v>
      </c>
      <c r="E8" s="41" t="s">
        <v>156</v>
      </c>
      <c r="F8" s="40" t="s">
        <v>155</v>
      </c>
    </row>
    <row r="9" spans="2:6" ht="30" x14ac:dyDescent="0.25">
      <c r="B9" s="39" t="s">
        <v>154</v>
      </c>
      <c r="C9" s="38" t="s">
        <v>153</v>
      </c>
      <c r="D9" s="38" t="s">
        <v>152</v>
      </c>
      <c r="E9" s="38" t="s">
        <v>146</v>
      </c>
      <c r="F9" s="37" t="s">
        <v>151</v>
      </c>
    </row>
    <row r="10" spans="2:6" ht="45" x14ac:dyDescent="0.25">
      <c r="B10" s="35" t="s">
        <v>43</v>
      </c>
      <c r="C10" s="34" t="s">
        <v>150</v>
      </c>
      <c r="D10" s="33" t="s">
        <v>149</v>
      </c>
      <c r="E10" s="34" t="s">
        <v>148</v>
      </c>
      <c r="F10" s="36" t="s">
        <v>147</v>
      </c>
    </row>
    <row r="11" spans="2:6" x14ac:dyDescent="0.25">
      <c r="B11" s="30"/>
      <c r="C11" s="29"/>
      <c r="D11" s="29"/>
      <c r="E11" s="29"/>
      <c r="F11" s="32"/>
    </row>
    <row r="12" spans="2:6" x14ac:dyDescent="0.25">
      <c r="B12" s="30"/>
      <c r="C12" s="29"/>
      <c r="D12" s="29"/>
      <c r="E12" s="29"/>
      <c r="F12" s="32"/>
    </row>
    <row r="13" spans="2:6" x14ac:dyDescent="0.25">
      <c r="B13" s="30"/>
      <c r="C13" s="29"/>
      <c r="D13" s="29"/>
      <c r="E13" s="29"/>
      <c r="F13" s="32"/>
    </row>
    <row r="14" spans="2:6" x14ac:dyDescent="0.25">
      <c r="B14" s="30"/>
      <c r="C14" s="29"/>
      <c r="D14" s="29"/>
      <c r="E14" s="29"/>
      <c r="F14" s="31"/>
    </row>
    <row r="15" spans="2:6" x14ac:dyDescent="0.25">
      <c r="B15" s="30"/>
      <c r="C15" s="29"/>
      <c r="D15" s="29"/>
      <c r="E15" s="29"/>
      <c r="F15" s="31"/>
    </row>
    <row r="16" spans="2:6" x14ac:dyDescent="0.25">
      <c r="B16" s="30"/>
      <c r="C16" s="29"/>
      <c r="D16" s="29"/>
      <c r="E16" s="29"/>
      <c r="F16" s="31"/>
    </row>
    <row r="17" spans="2:6" x14ac:dyDescent="0.25">
      <c r="B17" s="30"/>
      <c r="C17" s="29"/>
      <c r="D17" s="29"/>
      <c r="E17" s="29"/>
      <c r="F17" s="31"/>
    </row>
    <row r="18" spans="2:6" x14ac:dyDescent="0.25">
      <c r="B18" s="30"/>
      <c r="C18" s="29"/>
      <c r="D18" s="29"/>
      <c r="E18" s="29"/>
      <c r="F18" s="31"/>
    </row>
    <row r="19" spans="2:6" x14ac:dyDescent="0.25">
      <c r="B19" s="30"/>
      <c r="C19" s="29"/>
      <c r="D19" s="29"/>
      <c r="E19" s="29"/>
      <c r="F19" s="31"/>
    </row>
    <row r="20" spans="2:6" x14ac:dyDescent="0.25">
      <c r="B20" s="30"/>
      <c r="C20" s="29"/>
      <c r="D20" s="29"/>
      <c r="E20" s="29"/>
      <c r="F20" s="31"/>
    </row>
    <row r="21" spans="2:6" x14ac:dyDescent="0.25">
      <c r="B21" s="30"/>
      <c r="C21" s="29"/>
      <c r="D21" s="29"/>
      <c r="E21" s="29"/>
      <c r="F21" s="31"/>
    </row>
    <row r="22" spans="2:6" x14ac:dyDescent="0.25">
      <c r="B22" s="30"/>
      <c r="C22" s="29"/>
      <c r="D22" s="29"/>
      <c r="E22" s="29"/>
      <c r="F22" s="31"/>
    </row>
    <row r="23" spans="2:6" x14ac:dyDescent="0.25">
      <c r="B23" s="30"/>
      <c r="C23" s="29"/>
      <c r="D23" s="29"/>
      <c r="E23" s="29"/>
      <c r="F23" s="31"/>
    </row>
    <row r="24" spans="2:6" x14ac:dyDescent="0.25">
      <c r="B24" s="30"/>
      <c r="C24" s="29"/>
      <c r="D24" s="29"/>
      <c r="E24" s="29"/>
      <c r="F24" s="31"/>
    </row>
    <row r="25" spans="2:6" ht="30" x14ac:dyDescent="0.25">
      <c r="B25" s="30"/>
      <c r="C25" s="29"/>
      <c r="D25" s="29"/>
      <c r="E25" s="29"/>
      <c r="F25" s="28" t="s">
        <v>145</v>
      </c>
    </row>
    <row r="26" spans="2:6" ht="30.75" thickBot="1" x14ac:dyDescent="0.3">
      <c r="B26" s="27"/>
      <c r="C26" s="26"/>
      <c r="D26" s="26"/>
      <c r="E26" s="26"/>
      <c r="F26" s="25" t="s">
        <v>144</v>
      </c>
    </row>
    <row r="28" spans="2:6" ht="15.75" thickBot="1" x14ac:dyDescent="0.3">
      <c r="B28" s="24" t="s">
        <v>143</v>
      </c>
      <c r="C28" s="21" t="s">
        <v>142</v>
      </c>
      <c r="D28" s="21"/>
      <c r="F28" s="23">
        <v>45684</v>
      </c>
    </row>
    <row r="29" spans="2:6" x14ac:dyDescent="0.25">
      <c r="C29" s="22" t="s">
        <v>141</v>
      </c>
      <c r="F29" s="19" t="s">
        <v>139</v>
      </c>
    </row>
    <row r="31" spans="2:6" ht="15.75" thickBot="1" x14ac:dyDescent="0.3">
      <c r="C31" s="21"/>
      <c r="D31" s="21"/>
      <c r="F31" s="21"/>
    </row>
    <row r="32" spans="2:6" x14ac:dyDescent="0.25">
      <c r="C32" s="20" t="s">
        <v>140</v>
      </c>
      <c r="D32" s="20"/>
      <c r="F32" s="19" t="s">
        <v>139</v>
      </c>
    </row>
  </sheetData>
  <mergeCells count="1">
    <mergeCell ref="C5:D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MG250123_HB2501+2412CCASE+CB Am</vt:lpstr>
      <vt:lpstr>Calibration</vt:lpstr>
      <vt:lpstr>QC</vt:lpstr>
      <vt:lpstr>Reported Results</vt:lpstr>
      <vt:lpstr>C.A.L.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 Glinski</cp:lastModifiedBy>
  <dcterms:created xsi:type="dcterms:W3CDTF">2025-01-27T18:14:16Z</dcterms:created>
  <dcterms:modified xsi:type="dcterms:W3CDTF">2025-01-27T18:32:00Z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