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backupFile="1" codeName="ThisWorkbook"/>
  <mc:AlternateContent xmlns:mc="http://schemas.openxmlformats.org/markup-compatibility/2006">
    <mc:Choice Requires="x15">
      <x15ac:absPath xmlns:x15ac="http://schemas.microsoft.com/office/spreadsheetml/2010/11/ac" url="https://sumailsyr-my.sharepoint.com/personal/mjglinsk_syr_edu/Documents/Desktop/Reports etc/Christian Bright/"/>
    </mc:Choice>
  </mc:AlternateContent>
  <xr:revisionPtr revIDLastSave="34" documentId="11_5A4D473FE5AED8F5007A0BB919A043333374BCF4" xr6:coauthVersionLast="47" xr6:coauthVersionMax="47" xr10:uidLastSave="{26BB995F-43A2-4616-A707-F98675C52E34}"/>
  <bookViews>
    <workbookView xWindow="-120" yWindow="-120" windowWidth="29040" windowHeight="15840" activeTab="2" xr2:uid="{00000000-000D-0000-FFFF-FFFF00000000}"/>
  </bookViews>
  <sheets>
    <sheet name="Results" sheetId="97" r:id="rId1"/>
    <sheet name="QC" sheetId="98" r:id="rId2"/>
    <sheet name="Processed Results" sheetId="99" r:id="rId3"/>
    <sheet name="Blank_DESKTOP-2T11CM2_20241203" sheetId="88" r:id="rId4"/>
    <sheet name="CCV1_DESKTOP-2T11CM2_20241203-" sheetId="91" r:id="rId5"/>
    <sheet name="CCB1_DESKTOP-2T11CM2_20241203-" sheetId="89" r:id="rId6"/>
    <sheet name="Field Blank_DESKTOP-2T11CM2_20" sheetId="93" r:id="rId7"/>
    <sheet name="MWR-NE_DESKTOP-2T11CM2_2024120" sheetId="95" r:id="rId8"/>
    <sheet name="MWR-SE_DESKTOP-2T11CM2_2024120" sheetId="96" r:id="rId9"/>
    <sheet name="MWR-N#S (Filtered)_DESKTOP-2T1" sheetId="94" r:id="rId10"/>
    <sheet name="CCV2_DESKTOP-2T11CM2_20241203-" sheetId="92" r:id="rId11"/>
    <sheet name="CCB2_DESKTOP-2T11CM2_20241203-" sheetId="90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8" l="1"/>
  <c r="F2" i="98"/>
  <c r="E3" i="98"/>
  <c r="F3" i="98"/>
  <c r="F23" i="90"/>
  <c r="F24" i="90" s="1"/>
  <c r="C5" i="90"/>
  <c r="C6" i="90"/>
  <c r="C7" i="90"/>
  <c r="C8" i="90"/>
  <c r="C9" i="90"/>
  <c r="C10" i="90"/>
  <c r="C11" i="90"/>
  <c r="C12" i="90"/>
  <c r="C13" i="90"/>
  <c r="C14" i="90"/>
  <c r="C15" i="90"/>
  <c r="C16" i="90"/>
  <c r="C17" i="90"/>
  <c r="C18" i="90"/>
  <c r="C19" i="90"/>
  <c r="C20" i="90"/>
  <c r="C21" i="90"/>
  <c r="C22" i="90"/>
  <c r="C23" i="90"/>
  <c r="C24" i="90"/>
  <c r="C25" i="90"/>
  <c r="C26" i="90"/>
  <c r="C27" i="90"/>
  <c r="C28" i="90"/>
  <c r="C29" i="90"/>
  <c r="C30" i="90"/>
  <c r="C31" i="90"/>
  <c r="C32" i="90"/>
  <c r="C33" i="90"/>
  <c r="C34" i="90"/>
  <c r="C35" i="90"/>
  <c r="C36" i="90"/>
  <c r="C37" i="90"/>
  <c r="C38" i="90"/>
  <c r="C39" i="90"/>
  <c r="C40" i="90"/>
  <c r="C41" i="90"/>
  <c r="C42" i="90"/>
  <c r="C43" i="90"/>
  <c r="C44" i="90"/>
  <c r="C45" i="90"/>
  <c r="C46" i="90"/>
  <c r="C4" i="90"/>
  <c r="F24" i="92"/>
  <c r="F23" i="92"/>
  <c r="C5" i="92"/>
  <c r="C6" i="92"/>
  <c r="C7" i="92"/>
  <c r="C8" i="92"/>
  <c r="C9" i="92"/>
  <c r="C10" i="92"/>
  <c r="C11" i="92"/>
  <c r="C12" i="92"/>
  <c r="C13" i="92"/>
  <c r="C14" i="92"/>
  <c r="C15" i="92"/>
  <c r="C16" i="92"/>
  <c r="C17" i="92"/>
  <c r="C18" i="92"/>
  <c r="C19" i="92"/>
  <c r="C20" i="92"/>
  <c r="C21" i="92"/>
  <c r="C22" i="92"/>
  <c r="C23" i="92"/>
  <c r="C24" i="92"/>
  <c r="C25" i="92"/>
  <c r="C26" i="92"/>
  <c r="C27" i="92"/>
  <c r="C28" i="92"/>
  <c r="C29" i="92"/>
  <c r="C30" i="92"/>
  <c r="C31" i="92"/>
  <c r="C32" i="92"/>
  <c r="C33" i="92"/>
  <c r="C34" i="92"/>
  <c r="C35" i="92"/>
  <c r="C36" i="92"/>
  <c r="C37" i="92"/>
  <c r="C4" i="92"/>
  <c r="F24" i="94"/>
  <c r="F23" i="94"/>
  <c r="C5" i="94"/>
  <c r="C6" i="94"/>
  <c r="C7" i="94"/>
  <c r="C8" i="94"/>
  <c r="C9" i="94"/>
  <c r="C10" i="94"/>
  <c r="C11" i="94"/>
  <c r="C12" i="94"/>
  <c r="C13" i="94"/>
  <c r="C14" i="94"/>
  <c r="C15" i="94"/>
  <c r="C16" i="94"/>
  <c r="C17" i="94"/>
  <c r="C18" i="94"/>
  <c r="C19" i="94"/>
  <c r="C20" i="94"/>
  <c r="C21" i="94"/>
  <c r="C22" i="94"/>
  <c r="C23" i="94"/>
  <c r="C24" i="94"/>
  <c r="C25" i="94"/>
  <c r="C26" i="94"/>
  <c r="C27" i="94"/>
  <c r="C28" i="94"/>
  <c r="C29" i="94"/>
  <c r="C30" i="94"/>
  <c r="C31" i="94"/>
  <c r="C32" i="94"/>
  <c r="C33" i="94"/>
  <c r="C34" i="94"/>
  <c r="C35" i="94"/>
  <c r="C36" i="94"/>
  <c r="C37" i="94"/>
  <c r="C38" i="94"/>
  <c r="C39" i="94"/>
  <c r="C40" i="94"/>
  <c r="C41" i="94"/>
  <c r="C42" i="94"/>
  <c r="C43" i="94"/>
  <c r="C44" i="94"/>
  <c r="C45" i="94"/>
  <c r="C46" i="94"/>
  <c r="C47" i="94"/>
  <c r="C48" i="94"/>
  <c r="C49" i="94"/>
  <c r="C50" i="94"/>
  <c r="C51" i="94"/>
  <c r="C52" i="94"/>
  <c r="C53" i="94"/>
  <c r="C54" i="94"/>
  <c r="C55" i="94"/>
  <c r="C56" i="94"/>
  <c r="C57" i="94"/>
  <c r="C58" i="94"/>
  <c r="C59" i="94"/>
  <c r="C60" i="94"/>
  <c r="C61" i="94"/>
  <c r="C62" i="94"/>
  <c r="C63" i="94"/>
  <c r="C64" i="94"/>
  <c r="C65" i="94"/>
  <c r="C66" i="94"/>
  <c r="C67" i="94"/>
  <c r="C68" i="94"/>
  <c r="C69" i="94"/>
  <c r="C70" i="94"/>
  <c r="C71" i="94"/>
  <c r="C72" i="94"/>
  <c r="C73" i="94"/>
  <c r="C74" i="94"/>
  <c r="C75" i="94"/>
  <c r="C76" i="94"/>
  <c r="C77" i="94"/>
  <c r="C78" i="94"/>
  <c r="C79" i="94"/>
  <c r="C80" i="94"/>
  <c r="C81" i="94"/>
  <c r="C82" i="94"/>
  <c r="C83" i="94"/>
  <c r="C84" i="94"/>
  <c r="C85" i="94"/>
  <c r="C86" i="94"/>
  <c r="C87" i="94"/>
  <c r="C88" i="94"/>
  <c r="C89" i="94"/>
  <c r="C90" i="94"/>
  <c r="C91" i="94"/>
  <c r="C92" i="94"/>
  <c r="C93" i="94"/>
  <c r="C94" i="94"/>
  <c r="C95" i="94"/>
  <c r="C96" i="94"/>
  <c r="C97" i="94"/>
  <c r="C98" i="94"/>
  <c r="C99" i="94"/>
  <c r="C100" i="94"/>
  <c r="C101" i="94"/>
  <c r="C102" i="94"/>
  <c r="C103" i="94"/>
  <c r="C104" i="94"/>
  <c r="C105" i="94"/>
  <c r="C106" i="94"/>
  <c r="C107" i="94"/>
  <c r="C108" i="94"/>
  <c r="C109" i="94"/>
  <c r="C110" i="94"/>
  <c r="C111" i="94"/>
  <c r="C112" i="94"/>
  <c r="C113" i="94"/>
  <c r="C114" i="94"/>
  <c r="C115" i="94"/>
  <c r="C116" i="94"/>
  <c r="C117" i="94"/>
  <c r="C118" i="94"/>
  <c r="C119" i="94"/>
  <c r="C120" i="94"/>
  <c r="C121" i="94"/>
  <c r="C122" i="94"/>
  <c r="C123" i="94"/>
  <c r="C124" i="94"/>
  <c r="C125" i="94"/>
  <c r="C126" i="94"/>
  <c r="C127" i="94"/>
  <c r="C128" i="94"/>
  <c r="C129" i="94"/>
  <c r="C130" i="94"/>
  <c r="C131" i="94"/>
  <c r="C132" i="94"/>
  <c r="C133" i="94"/>
  <c r="C134" i="94"/>
  <c r="C135" i="94"/>
  <c r="C136" i="94"/>
  <c r="C137" i="94"/>
  <c r="C138" i="94"/>
  <c r="C139" i="94"/>
  <c r="C140" i="94"/>
  <c r="C141" i="94"/>
  <c r="C142" i="94"/>
  <c r="C143" i="94"/>
  <c r="C144" i="94"/>
  <c r="C145" i="94"/>
  <c r="C146" i="94"/>
  <c r="C147" i="94"/>
  <c r="C148" i="94"/>
  <c r="C149" i="94"/>
  <c r="C150" i="94"/>
  <c r="C151" i="94"/>
  <c r="C152" i="94"/>
  <c r="C153" i="94"/>
  <c r="C154" i="94"/>
  <c r="C155" i="94"/>
  <c r="C156" i="94"/>
  <c r="C157" i="94"/>
  <c r="C158" i="94"/>
  <c r="C159" i="94"/>
  <c r="C160" i="94"/>
  <c r="C161" i="94"/>
  <c r="C162" i="94"/>
  <c r="C163" i="94"/>
  <c r="C164" i="94"/>
  <c r="C165" i="94"/>
  <c r="C166" i="94"/>
  <c r="C167" i="94"/>
  <c r="C168" i="94"/>
  <c r="C169" i="94"/>
  <c r="C170" i="94"/>
  <c r="C171" i="94"/>
  <c r="C172" i="94"/>
  <c r="C173" i="94"/>
  <c r="C174" i="94"/>
  <c r="C175" i="94"/>
  <c r="C176" i="94"/>
  <c r="C177" i="94"/>
  <c r="C178" i="94"/>
  <c r="C179" i="94"/>
  <c r="C180" i="94"/>
  <c r="C181" i="94"/>
  <c r="C182" i="94"/>
  <c r="C183" i="94"/>
  <c r="C184" i="94"/>
  <c r="C185" i="94"/>
  <c r="C186" i="94"/>
  <c r="C187" i="94"/>
  <c r="C188" i="94"/>
  <c r="C189" i="94"/>
  <c r="C190" i="94"/>
  <c r="C191" i="94"/>
  <c r="C192" i="94"/>
  <c r="C193" i="94"/>
  <c r="C194" i="94"/>
  <c r="C195" i="94"/>
  <c r="C196" i="94"/>
  <c r="C197" i="94"/>
  <c r="C198" i="94"/>
  <c r="C199" i="94"/>
  <c r="C200" i="94"/>
  <c r="C201" i="94"/>
  <c r="C202" i="94"/>
  <c r="C203" i="94"/>
  <c r="C204" i="94"/>
  <c r="C205" i="94"/>
  <c r="C206" i="94"/>
  <c r="C207" i="94"/>
  <c r="C208" i="94"/>
  <c r="C209" i="94"/>
  <c r="C210" i="94"/>
  <c r="C211" i="94"/>
  <c r="C212" i="94"/>
  <c r="C213" i="94"/>
  <c r="C214" i="94"/>
  <c r="C215" i="94"/>
  <c r="C216" i="94"/>
  <c r="C217" i="94"/>
  <c r="C218" i="94"/>
  <c r="C219" i="94"/>
  <c r="C220" i="94"/>
  <c r="C221" i="94"/>
  <c r="C222" i="94"/>
  <c r="C223" i="94"/>
  <c r="C224" i="94"/>
  <c r="C225" i="94"/>
  <c r="C226" i="94"/>
  <c r="C227" i="94"/>
  <c r="C228" i="94"/>
  <c r="C229" i="94"/>
  <c r="C230" i="94"/>
  <c r="C231" i="94"/>
  <c r="C232" i="94"/>
  <c r="C233" i="94"/>
  <c r="C234" i="94"/>
  <c r="C235" i="94"/>
  <c r="C236" i="94"/>
  <c r="C237" i="94"/>
  <c r="C238" i="94"/>
  <c r="C239" i="94"/>
  <c r="C240" i="94"/>
  <c r="C241" i="94"/>
  <c r="C242" i="94"/>
  <c r="C243" i="94"/>
  <c r="C244" i="94"/>
  <c r="C245" i="94"/>
  <c r="C246" i="94"/>
  <c r="C247" i="94"/>
  <c r="C248" i="94"/>
  <c r="C249" i="94"/>
  <c r="C250" i="94"/>
  <c r="C251" i="94"/>
  <c r="C252" i="94"/>
  <c r="C253" i="94"/>
  <c r="C254" i="94"/>
  <c r="C255" i="94"/>
  <c r="C256" i="94"/>
  <c r="C257" i="94"/>
  <c r="C258" i="94"/>
  <c r="C259" i="94"/>
  <c r="C260" i="94"/>
  <c r="C261" i="94"/>
  <c r="C262" i="94"/>
  <c r="C263" i="94"/>
  <c r="C264" i="94"/>
  <c r="C265" i="94"/>
  <c r="C266" i="94"/>
  <c r="C267" i="94"/>
  <c r="C268" i="94"/>
  <c r="C269" i="94"/>
  <c r="C270" i="94"/>
  <c r="C271" i="94"/>
  <c r="C272" i="94"/>
  <c r="C273" i="94"/>
  <c r="C274" i="94"/>
  <c r="C275" i="94"/>
  <c r="C276" i="94"/>
  <c r="C277" i="94"/>
  <c r="C278" i="94"/>
  <c r="C279" i="94"/>
  <c r="C280" i="94"/>
  <c r="C281" i="94"/>
  <c r="C282" i="94"/>
  <c r="C283" i="94"/>
  <c r="C284" i="94"/>
  <c r="C285" i="94"/>
  <c r="C286" i="94"/>
  <c r="C287" i="94"/>
  <c r="C288" i="94"/>
  <c r="C289" i="94"/>
  <c r="C290" i="94"/>
  <c r="C291" i="94"/>
  <c r="C292" i="94"/>
  <c r="C293" i="94"/>
  <c r="C294" i="94"/>
  <c r="C295" i="94"/>
  <c r="C296" i="94"/>
  <c r="C297" i="94"/>
  <c r="C298" i="94"/>
  <c r="C299" i="94"/>
  <c r="C300" i="94"/>
  <c r="C301" i="94"/>
  <c r="C302" i="94"/>
  <c r="C303" i="94"/>
  <c r="C304" i="94"/>
  <c r="C305" i="94"/>
  <c r="C306" i="94"/>
  <c r="C307" i="94"/>
  <c r="C308" i="94"/>
  <c r="C309" i="94"/>
  <c r="C310" i="94"/>
  <c r="C311" i="94"/>
  <c r="C312" i="94"/>
  <c r="C313" i="94"/>
  <c r="C314" i="94"/>
  <c r="C315" i="94"/>
  <c r="C316" i="94"/>
  <c r="C317" i="94"/>
  <c r="C318" i="94"/>
  <c r="C319" i="94"/>
  <c r="C320" i="94"/>
  <c r="C321" i="94"/>
  <c r="C322" i="94"/>
  <c r="C323" i="94"/>
  <c r="C324" i="94"/>
  <c r="C325" i="94"/>
  <c r="C326" i="94"/>
  <c r="C327" i="94"/>
  <c r="C328" i="94"/>
  <c r="C329" i="94"/>
  <c r="C330" i="94"/>
  <c r="C331" i="94"/>
  <c r="C332" i="94"/>
  <c r="C333" i="94"/>
  <c r="C334" i="94"/>
  <c r="C335" i="94"/>
  <c r="C336" i="94"/>
  <c r="C337" i="94"/>
  <c r="C338" i="94"/>
  <c r="C339" i="94"/>
  <c r="C340" i="94"/>
  <c r="C341" i="94"/>
  <c r="C342" i="94"/>
  <c r="C343" i="94"/>
  <c r="C344" i="94"/>
  <c r="C345" i="94"/>
  <c r="C346" i="94"/>
  <c r="C347" i="94"/>
  <c r="C348" i="94"/>
  <c r="C349" i="94"/>
  <c r="C350" i="94"/>
  <c r="C351" i="94"/>
  <c r="C352" i="94"/>
  <c r="C353" i="94"/>
  <c r="C354" i="94"/>
  <c r="C355" i="94"/>
  <c r="C356" i="94"/>
  <c r="C357" i="94"/>
  <c r="C358" i="94"/>
  <c r="C359" i="94"/>
  <c r="C360" i="94"/>
  <c r="C361" i="94"/>
  <c r="C362" i="94"/>
  <c r="C363" i="94"/>
  <c r="C364" i="94"/>
  <c r="C365" i="94"/>
  <c r="C366" i="94"/>
  <c r="C367" i="94"/>
  <c r="C368" i="94"/>
  <c r="C369" i="94"/>
  <c r="C370" i="94"/>
  <c r="C371" i="94"/>
  <c r="C372" i="94"/>
  <c r="C373" i="94"/>
  <c r="C374" i="94"/>
  <c r="C375" i="94"/>
  <c r="C376" i="94"/>
  <c r="C377" i="94"/>
  <c r="C378" i="94"/>
  <c r="C379" i="94"/>
  <c r="C380" i="94"/>
  <c r="C381" i="94"/>
  <c r="C382" i="94"/>
  <c r="C383" i="94"/>
  <c r="C384" i="94"/>
  <c r="C385" i="94"/>
  <c r="C386" i="94"/>
  <c r="C387" i="94"/>
  <c r="C388" i="94"/>
  <c r="C389" i="94"/>
  <c r="C390" i="94"/>
  <c r="C391" i="94"/>
  <c r="C392" i="94"/>
  <c r="C393" i="94"/>
  <c r="C394" i="94"/>
  <c r="C395" i="94"/>
  <c r="C396" i="94"/>
  <c r="C397" i="94"/>
  <c r="C398" i="94"/>
  <c r="C399" i="94"/>
  <c r="C400" i="94"/>
  <c r="C401" i="94"/>
  <c r="C402" i="94"/>
  <c r="C403" i="94"/>
  <c r="C404" i="94"/>
  <c r="C405" i="94"/>
  <c r="C406" i="94"/>
  <c r="C407" i="94"/>
  <c r="C408" i="94"/>
  <c r="C409" i="94"/>
  <c r="C410" i="94"/>
  <c r="C411" i="94"/>
  <c r="C412" i="94"/>
  <c r="C413" i="94"/>
  <c r="C414" i="94"/>
  <c r="C415" i="94"/>
  <c r="C416" i="94"/>
  <c r="C417" i="94"/>
  <c r="C418" i="94"/>
  <c r="C419" i="94"/>
  <c r="C420" i="94"/>
  <c r="C421" i="94"/>
  <c r="C422" i="94"/>
  <c r="C423" i="94"/>
  <c r="C424" i="94"/>
  <c r="C425" i="94"/>
  <c r="C426" i="94"/>
  <c r="C427" i="94"/>
  <c r="C428" i="94"/>
  <c r="C429" i="94"/>
  <c r="C430" i="94"/>
  <c r="C431" i="94"/>
  <c r="C432" i="94"/>
  <c r="C433" i="94"/>
  <c r="C434" i="94"/>
  <c r="C435" i="94"/>
  <c r="C436" i="94"/>
  <c r="C437" i="94"/>
  <c r="C438" i="94"/>
  <c r="C439" i="94"/>
  <c r="C440" i="94"/>
  <c r="C441" i="94"/>
  <c r="C442" i="94"/>
  <c r="C443" i="94"/>
  <c r="C444" i="94"/>
  <c r="C445" i="94"/>
  <c r="C446" i="94"/>
  <c r="C447" i="94"/>
  <c r="C448" i="94"/>
  <c r="C449" i="94"/>
  <c r="C450" i="94"/>
  <c r="C451" i="94"/>
  <c r="C452" i="94"/>
  <c r="C453" i="94"/>
  <c r="C454" i="94"/>
  <c r="C455" i="94"/>
  <c r="C456" i="94"/>
  <c r="C457" i="94"/>
  <c r="C458" i="94"/>
  <c r="C459" i="94"/>
  <c r="C460" i="94"/>
  <c r="C461" i="94"/>
  <c r="C462" i="94"/>
  <c r="C463" i="94"/>
  <c r="C464" i="94"/>
  <c r="C465" i="94"/>
  <c r="C466" i="94"/>
  <c r="C467" i="94"/>
  <c r="C468" i="94"/>
  <c r="C469" i="94"/>
  <c r="C470" i="94"/>
  <c r="C471" i="94"/>
  <c r="C472" i="94"/>
  <c r="C473" i="94"/>
  <c r="C474" i="94"/>
  <c r="C475" i="94"/>
  <c r="C476" i="94"/>
  <c r="C477" i="94"/>
  <c r="C478" i="94"/>
  <c r="C479" i="94"/>
  <c r="C480" i="94"/>
  <c r="C481" i="94"/>
  <c r="C482" i="94"/>
  <c r="C483" i="94"/>
  <c r="C484" i="94"/>
  <c r="C485" i="94"/>
  <c r="C486" i="94"/>
  <c r="C487" i="94"/>
  <c r="C488" i="94"/>
  <c r="C489" i="94"/>
  <c r="C490" i="94"/>
  <c r="C491" i="94"/>
  <c r="C492" i="94"/>
  <c r="C493" i="94"/>
  <c r="C494" i="94"/>
  <c r="C495" i="94"/>
  <c r="C496" i="94"/>
  <c r="C497" i="94"/>
  <c r="C498" i="94"/>
  <c r="C499" i="94"/>
  <c r="C500" i="94"/>
  <c r="C501" i="94"/>
  <c r="C502" i="94"/>
  <c r="C503" i="94"/>
  <c r="C504" i="94"/>
  <c r="C505" i="94"/>
  <c r="C506" i="94"/>
  <c r="C507" i="94"/>
  <c r="C508" i="94"/>
  <c r="C509" i="94"/>
  <c r="C510" i="94"/>
  <c r="C511" i="94"/>
  <c r="C512" i="94"/>
  <c r="C513" i="94"/>
  <c r="C514" i="94"/>
  <c r="C515" i="94"/>
  <c r="C516" i="94"/>
  <c r="C517" i="94"/>
  <c r="C518" i="94"/>
  <c r="C519" i="94"/>
  <c r="C520" i="94"/>
  <c r="C521" i="94"/>
  <c r="C522" i="94"/>
  <c r="C523" i="94"/>
  <c r="C524" i="94"/>
  <c r="C525" i="94"/>
  <c r="C526" i="94"/>
  <c r="C527" i="94"/>
  <c r="C528" i="94"/>
  <c r="C529" i="94"/>
  <c r="C530" i="94"/>
  <c r="C531" i="94"/>
  <c r="C532" i="94"/>
  <c r="C533" i="94"/>
  <c r="C534" i="94"/>
  <c r="C4" i="94"/>
  <c r="F24" i="96"/>
  <c r="F23" i="96"/>
  <c r="C5" i="96"/>
  <c r="C6" i="96"/>
  <c r="C7" i="96"/>
  <c r="C8" i="96"/>
  <c r="C9" i="96"/>
  <c r="C10" i="96"/>
  <c r="C11" i="96"/>
  <c r="C12" i="96"/>
  <c r="C13" i="96"/>
  <c r="C14" i="96"/>
  <c r="C15" i="96"/>
  <c r="C16" i="96"/>
  <c r="C17" i="96"/>
  <c r="C18" i="96"/>
  <c r="C19" i="96"/>
  <c r="C20" i="96"/>
  <c r="C21" i="96"/>
  <c r="C22" i="96"/>
  <c r="C23" i="96"/>
  <c r="C24" i="96"/>
  <c r="C25" i="96"/>
  <c r="C26" i="96"/>
  <c r="C27" i="96"/>
  <c r="C28" i="96"/>
  <c r="C29" i="96"/>
  <c r="C30" i="96"/>
  <c r="C31" i="96"/>
  <c r="C32" i="96"/>
  <c r="C33" i="96"/>
  <c r="C34" i="96"/>
  <c r="C35" i="96"/>
  <c r="C36" i="96"/>
  <c r="C37" i="96"/>
  <c r="C38" i="96"/>
  <c r="C39" i="96"/>
  <c r="C40" i="96"/>
  <c r="C41" i="96"/>
  <c r="C42" i="96"/>
  <c r="C43" i="96"/>
  <c r="C44" i="96"/>
  <c r="C45" i="96"/>
  <c r="C46" i="96"/>
  <c r="C47" i="96"/>
  <c r="C48" i="96"/>
  <c r="C49" i="96"/>
  <c r="C50" i="96"/>
  <c r="C51" i="96"/>
  <c r="C52" i="96"/>
  <c r="C53" i="96"/>
  <c r="C54" i="96"/>
  <c r="C55" i="96"/>
  <c r="C56" i="96"/>
  <c r="C57" i="96"/>
  <c r="C58" i="96"/>
  <c r="C59" i="96"/>
  <c r="C60" i="96"/>
  <c r="C61" i="96"/>
  <c r="C62" i="96"/>
  <c r="C63" i="96"/>
  <c r="C64" i="96"/>
  <c r="C65" i="96"/>
  <c r="C66" i="96"/>
  <c r="C67" i="96"/>
  <c r="C68" i="96"/>
  <c r="C69" i="96"/>
  <c r="C70" i="96"/>
  <c r="C71" i="96"/>
  <c r="C72" i="96"/>
  <c r="C73" i="96"/>
  <c r="C74" i="96"/>
  <c r="C75" i="96"/>
  <c r="C76" i="96"/>
  <c r="C77" i="96"/>
  <c r="C78" i="96"/>
  <c r="C79" i="96"/>
  <c r="C80" i="96"/>
  <c r="C81" i="96"/>
  <c r="C82" i="96"/>
  <c r="C83" i="96"/>
  <c r="C84" i="96"/>
  <c r="C85" i="96"/>
  <c r="C86" i="96"/>
  <c r="C87" i="96"/>
  <c r="C88" i="96"/>
  <c r="C89" i="96"/>
  <c r="C90" i="96"/>
  <c r="C91" i="96"/>
  <c r="C92" i="96"/>
  <c r="C93" i="96"/>
  <c r="C94" i="96"/>
  <c r="C95" i="96"/>
  <c r="C96" i="96"/>
  <c r="C97" i="96"/>
  <c r="C98" i="96"/>
  <c r="C99" i="96"/>
  <c r="C100" i="96"/>
  <c r="C101" i="96"/>
  <c r="C102" i="96"/>
  <c r="C103" i="96"/>
  <c r="C104" i="96"/>
  <c r="C105" i="96"/>
  <c r="C106" i="96"/>
  <c r="C107" i="96"/>
  <c r="C108" i="96"/>
  <c r="C109" i="96"/>
  <c r="C110" i="96"/>
  <c r="C111" i="96"/>
  <c r="C112" i="96"/>
  <c r="C113" i="96"/>
  <c r="C114" i="96"/>
  <c r="C115" i="96"/>
  <c r="C116" i="96"/>
  <c r="C117" i="96"/>
  <c r="C118" i="96"/>
  <c r="C119" i="96"/>
  <c r="C120" i="96"/>
  <c r="C121" i="96"/>
  <c r="C122" i="96"/>
  <c r="C123" i="96"/>
  <c r="C124" i="96"/>
  <c r="C125" i="96"/>
  <c r="C126" i="96"/>
  <c r="C127" i="96"/>
  <c r="C128" i="96"/>
  <c r="C129" i="96"/>
  <c r="C130" i="96"/>
  <c r="C131" i="96"/>
  <c r="C132" i="96"/>
  <c r="C133" i="96"/>
  <c r="C134" i="96"/>
  <c r="C135" i="96"/>
  <c r="C136" i="96"/>
  <c r="C137" i="96"/>
  <c r="C138" i="96"/>
  <c r="C139" i="96"/>
  <c r="C140" i="96"/>
  <c r="C141" i="96"/>
  <c r="C142" i="96"/>
  <c r="C143" i="96"/>
  <c r="C144" i="96"/>
  <c r="C145" i="96"/>
  <c r="C146" i="96"/>
  <c r="C147" i="96"/>
  <c r="C148" i="96"/>
  <c r="C149" i="96"/>
  <c r="C150" i="96"/>
  <c r="C151" i="96"/>
  <c r="C152" i="96"/>
  <c r="C153" i="96"/>
  <c r="C154" i="96"/>
  <c r="C155" i="96"/>
  <c r="C156" i="96"/>
  <c r="C157" i="96"/>
  <c r="C158" i="96"/>
  <c r="C159" i="96"/>
  <c r="C160" i="96"/>
  <c r="C161" i="96"/>
  <c r="C162" i="96"/>
  <c r="C163" i="96"/>
  <c r="C164" i="96"/>
  <c r="C165" i="96"/>
  <c r="C166" i="96"/>
  <c r="C167" i="96"/>
  <c r="C168" i="96"/>
  <c r="C169" i="96"/>
  <c r="C170" i="96"/>
  <c r="C171" i="96"/>
  <c r="C172" i="96"/>
  <c r="C173" i="96"/>
  <c r="C174" i="96"/>
  <c r="C175" i="96"/>
  <c r="C176" i="96"/>
  <c r="C177" i="96"/>
  <c r="C178" i="96"/>
  <c r="C179" i="96"/>
  <c r="C180" i="96"/>
  <c r="C181" i="96"/>
  <c r="C182" i="96"/>
  <c r="C183" i="96"/>
  <c r="C184" i="96"/>
  <c r="C185" i="96"/>
  <c r="C186" i="96"/>
  <c r="C187" i="96"/>
  <c r="C188" i="96"/>
  <c r="C189" i="96"/>
  <c r="C190" i="96"/>
  <c r="C191" i="96"/>
  <c r="C192" i="96"/>
  <c r="C193" i="96"/>
  <c r="C194" i="96"/>
  <c r="C195" i="96"/>
  <c r="C196" i="96"/>
  <c r="C197" i="96"/>
  <c r="C198" i="96"/>
  <c r="C199" i="96"/>
  <c r="C200" i="96"/>
  <c r="C201" i="96"/>
  <c r="C202" i="96"/>
  <c r="C203" i="96"/>
  <c r="C204" i="96"/>
  <c r="C205" i="96"/>
  <c r="C206" i="96"/>
  <c r="C207" i="96"/>
  <c r="C208" i="96"/>
  <c r="C209" i="96"/>
  <c r="C210" i="96"/>
  <c r="C211" i="96"/>
  <c r="C212" i="96"/>
  <c r="C213" i="96"/>
  <c r="C214" i="96"/>
  <c r="C215" i="96"/>
  <c r="C216" i="96"/>
  <c r="C217" i="96"/>
  <c r="C218" i="96"/>
  <c r="C219" i="96"/>
  <c r="C220" i="96"/>
  <c r="C221" i="96"/>
  <c r="C222" i="96"/>
  <c r="C223" i="96"/>
  <c r="C224" i="96"/>
  <c r="C225" i="96"/>
  <c r="C226" i="96"/>
  <c r="C227" i="96"/>
  <c r="C228" i="96"/>
  <c r="C229" i="96"/>
  <c r="C230" i="96"/>
  <c r="C231" i="96"/>
  <c r="C232" i="96"/>
  <c r="C233" i="96"/>
  <c r="C234" i="96"/>
  <c r="C235" i="96"/>
  <c r="C236" i="96"/>
  <c r="C237" i="96"/>
  <c r="C238" i="96"/>
  <c r="C239" i="96"/>
  <c r="C240" i="96"/>
  <c r="C241" i="96"/>
  <c r="C242" i="96"/>
  <c r="C243" i="96"/>
  <c r="C244" i="96"/>
  <c r="C245" i="96"/>
  <c r="C246" i="96"/>
  <c r="C247" i="96"/>
  <c r="C248" i="96"/>
  <c r="C249" i="96"/>
  <c r="C250" i="96"/>
  <c r="C251" i="96"/>
  <c r="C252" i="96"/>
  <c r="C253" i="96"/>
  <c r="C254" i="96"/>
  <c r="C255" i="96"/>
  <c r="C256" i="96"/>
  <c r="C257" i="96"/>
  <c r="C258" i="96"/>
  <c r="C259" i="96"/>
  <c r="C260" i="96"/>
  <c r="C261" i="96"/>
  <c r="C262" i="96"/>
  <c r="C263" i="96"/>
  <c r="C264" i="96"/>
  <c r="C265" i="96"/>
  <c r="C266" i="96"/>
  <c r="C267" i="96"/>
  <c r="C268" i="96"/>
  <c r="C269" i="96"/>
  <c r="C270" i="96"/>
  <c r="C271" i="96"/>
  <c r="C272" i="96"/>
  <c r="C273" i="96"/>
  <c r="C274" i="96"/>
  <c r="C275" i="96"/>
  <c r="C276" i="96"/>
  <c r="C277" i="96"/>
  <c r="C278" i="96"/>
  <c r="C279" i="96"/>
  <c r="C280" i="96"/>
  <c r="C281" i="96"/>
  <c r="C282" i="96"/>
  <c r="C283" i="96"/>
  <c r="C284" i="96"/>
  <c r="C285" i="96"/>
  <c r="C286" i="96"/>
  <c r="C287" i="96"/>
  <c r="C288" i="96"/>
  <c r="C289" i="96"/>
  <c r="C290" i="96"/>
  <c r="C291" i="96"/>
  <c r="C292" i="96"/>
  <c r="C293" i="96"/>
  <c r="C294" i="96"/>
  <c r="C295" i="96"/>
  <c r="C296" i="96"/>
  <c r="C297" i="96"/>
  <c r="C298" i="96"/>
  <c r="C299" i="96"/>
  <c r="C300" i="96"/>
  <c r="C301" i="96"/>
  <c r="C302" i="96"/>
  <c r="C303" i="96"/>
  <c r="C304" i="96"/>
  <c r="C305" i="96"/>
  <c r="C306" i="96"/>
  <c r="C307" i="96"/>
  <c r="C308" i="96"/>
  <c r="C309" i="96"/>
  <c r="C310" i="96"/>
  <c r="C311" i="96"/>
  <c r="C312" i="96"/>
  <c r="C313" i="96"/>
  <c r="C314" i="96"/>
  <c r="C315" i="96"/>
  <c r="C316" i="96"/>
  <c r="C317" i="96"/>
  <c r="C318" i="96"/>
  <c r="C319" i="96"/>
  <c r="C320" i="96"/>
  <c r="C321" i="96"/>
  <c r="C322" i="96"/>
  <c r="C323" i="96"/>
  <c r="C324" i="96"/>
  <c r="C325" i="96"/>
  <c r="C326" i="96"/>
  <c r="C327" i="96"/>
  <c r="C328" i="96"/>
  <c r="C329" i="96"/>
  <c r="C330" i="96"/>
  <c r="C331" i="96"/>
  <c r="C332" i="96"/>
  <c r="C333" i="96"/>
  <c r="C334" i="96"/>
  <c r="C335" i="96"/>
  <c r="C336" i="96"/>
  <c r="C337" i="96"/>
  <c r="C338" i="96"/>
  <c r="C339" i="96"/>
  <c r="C340" i="96"/>
  <c r="C341" i="96"/>
  <c r="C342" i="96"/>
  <c r="C343" i="96"/>
  <c r="C344" i="96"/>
  <c r="C345" i="96"/>
  <c r="C346" i="96"/>
  <c r="C347" i="96"/>
  <c r="C348" i="96"/>
  <c r="C349" i="96"/>
  <c r="C350" i="96"/>
  <c r="C351" i="96"/>
  <c r="C352" i="96"/>
  <c r="C353" i="96"/>
  <c r="C354" i="96"/>
  <c r="C355" i="96"/>
  <c r="C356" i="96"/>
  <c r="C357" i="96"/>
  <c r="C358" i="96"/>
  <c r="C359" i="96"/>
  <c r="C360" i="96"/>
  <c r="C361" i="96"/>
  <c r="C362" i="96"/>
  <c r="C363" i="96"/>
  <c r="C364" i="96"/>
  <c r="C365" i="96"/>
  <c r="C366" i="96"/>
  <c r="C367" i="96"/>
  <c r="C368" i="96"/>
  <c r="C369" i="96"/>
  <c r="C370" i="96"/>
  <c r="C371" i="96"/>
  <c r="C372" i="96"/>
  <c r="C373" i="96"/>
  <c r="C374" i="96"/>
  <c r="C375" i="96"/>
  <c r="C376" i="96"/>
  <c r="C377" i="96"/>
  <c r="C378" i="96"/>
  <c r="C379" i="96"/>
  <c r="C380" i="96"/>
  <c r="C381" i="96"/>
  <c r="C382" i="96"/>
  <c r="C383" i="96"/>
  <c r="C384" i="96"/>
  <c r="C385" i="96"/>
  <c r="C386" i="96"/>
  <c r="C387" i="96"/>
  <c r="C388" i="96"/>
  <c r="C389" i="96"/>
  <c r="C390" i="96"/>
  <c r="C391" i="96"/>
  <c r="C392" i="96"/>
  <c r="C393" i="96"/>
  <c r="C394" i="96"/>
  <c r="C395" i="96"/>
  <c r="C396" i="96"/>
  <c r="C397" i="96"/>
  <c r="C398" i="96"/>
  <c r="C399" i="96"/>
  <c r="C400" i="96"/>
  <c r="C401" i="96"/>
  <c r="C402" i="96"/>
  <c r="C403" i="96"/>
  <c r="C404" i="96"/>
  <c r="C405" i="96"/>
  <c r="C406" i="96"/>
  <c r="C407" i="96"/>
  <c r="C408" i="96"/>
  <c r="C409" i="96"/>
  <c r="C410" i="96"/>
  <c r="C411" i="96"/>
  <c r="C412" i="96"/>
  <c r="C413" i="96"/>
  <c r="C414" i="96"/>
  <c r="C415" i="96"/>
  <c r="C416" i="96"/>
  <c r="C417" i="96"/>
  <c r="C418" i="96"/>
  <c r="C419" i="96"/>
  <c r="C420" i="96"/>
  <c r="C421" i="96"/>
  <c r="C422" i="96"/>
  <c r="C423" i="96"/>
  <c r="C424" i="96"/>
  <c r="C425" i="96"/>
  <c r="C426" i="96"/>
  <c r="C427" i="96"/>
  <c r="C428" i="96"/>
  <c r="C4" i="96"/>
  <c r="F24" i="95"/>
  <c r="F23" i="95"/>
  <c r="C5" i="95"/>
  <c r="C6" i="95"/>
  <c r="C7" i="95"/>
  <c r="C8" i="95"/>
  <c r="C9" i="95"/>
  <c r="C10" i="95"/>
  <c r="C11" i="95"/>
  <c r="C12" i="95"/>
  <c r="C13" i="95"/>
  <c r="C14" i="95"/>
  <c r="C15" i="95"/>
  <c r="C16" i="95"/>
  <c r="C17" i="95"/>
  <c r="C18" i="95"/>
  <c r="C19" i="95"/>
  <c r="C20" i="95"/>
  <c r="C21" i="95"/>
  <c r="C22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0" i="95"/>
  <c r="C41" i="95"/>
  <c r="C42" i="95"/>
  <c r="C43" i="95"/>
  <c r="C44" i="95"/>
  <c r="C45" i="95"/>
  <c r="C46" i="95"/>
  <c r="C47" i="95"/>
  <c r="C48" i="95"/>
  <c r="C49" i="95"/>
  <c r="C50" i="95"/>
  <c r="C51" i="95"/>
  <c r="C52" i="95"/>
  <c r="C53" i="95"/>
  <c r="C54" i="95"/>
  <c r="C55" i="95"/>
  <c r="C56" i="95"/>
  <c r="C57" i="95"/>
  <c r="C58" i="95"/>
  <c r="C59" i="95"/>
  <c r="C60" i="95"/>
  <c r="C61" i="95"/>
  <c r="C62" i="95"/>
  <c r="C63" i="95"/>
  <c r="C64" i="95"/>
  <c r="C65" i="95"/>
  <c r="C66" i="95"/>
  <c r="C67" i="95"/>
  <c r="C68" i="95"/>
  <c r="C69" i="95"/>
  <c r="C70" i="95"/>
  <c r="C71" i="95"/>
  <c r="C72" i="95"/>
  <c r="C73" i="95"/>
  <c r="C74" i="95"/>
  <c r="C75" i="95"/>
  <c r="C76" i="95"/>
  <c r="C77" i="95"/>
  <c r="C78" i="95"/>
  <c r="C79" i="95"/>
  <c r="C80" i="95"/>
  <c r="C81" i="95"/>
  <c r="C82" i="95"/>
  <c r="C83" i="95"/>
  <c r="C84" i="95"/>
  <c r="C85" i="95"/>
  <c r="C86" i="95"/>
  <c r="C87" i="95"/>
  <c r="C88" i="95"/>
  <c r="C89" i="95"/>
  <c r="C90" i="95"/>
  <c r="C91" i="95"/>
  <c r="C92" i="95"/>
  <c r="C93" i="95"/>
  <c r="C94" i="95"/>
  <c r="C95" i="95"/>
  <c r="C96" i="95"/>
  <c r="C97" i="95"/>
  <c r="C98" i="95"/>
  <c r="C99" i="95"/>
  <c r="C100" i="95"/>
  <c r="C101" i="95"/>
  <c r="C102" i="95"/>
  <c r="C103" i="95"/>
  <c r="C104" i="95"/>
  <c r="C105" i="95"/>
  <c r="C106" i="95"/>
  <c r="C107" i="95"/>
  <c r="C108" i="95"/>
  <c r="C109" i="95"/>
  <c r="C110" i="95"/>
  <c r="C111" i="95"/>
  <c r="C112" i="95"/>
  <c r="C113" i="95"/>
  <c r="C114" i="95"/>
  <c r="C115" i="95"/>
  <c r="C116" i="95"/>
  <c r="C117" i="95"/>
  <c r="C118" i="95"/>
  <c r="C119" i="95"/>
  <c r="C120" i="95"/>
  <c r="C121" i="95"/>
  <c r="C122" i="95"/>
  <c r="C123" i="95"/>
  <c r="C124" i="95"/>
  <c r="C125" i="95"/>
  <c r="C126" i="95"/>
  <c r="C127" i="95"/>
  <c r="C128" i="95"/>
  <c r="C129" i="95"/>
  <c r="C130" i="95"/>
  <c r="C131" i="95"/>
  <c r="C132" i="95"/>
  <c r="C133" i="95"/>
  <c r="C134" i="95"/>
  <c r="C135" i="95"/>
  <c r="C136" i="95"/>
  <c r="C137" i="95"/>
  <c r="C138" i="95"/>
  <c r="C139" i="95"/>
  <c r="C140" i="95"/>
  <c r="C141" i="95"/>
  <c r="C142" i="95"/>
  <c r="C143" i="95"/>
  <c r="C144" i="95"/>
  <c r="C145" i="95"/>
  <c r="C146" i="95"/>
  <c r="C147" i="95"/>
  <c r="C148" i="95"/>
  <c r="C149" i="95"/>
  <c r="C150" i="95"/>
  <c r="C151" i="95"/>
  <c r="C152" i="95"/>
  <c r="C153" i="95"/>
  <c r="C154" i="95"/>
  <c r="C155" i="95"/>
  <c r="C156" i="95"/>
  <c r="C157" i="95"/>
  <c r="C158" i="95"/>
  <c r="C159" i="95"/>
  <c r="C160" i="95"/>
  <c r="C161" i="95"/>
  <c r="C162" i="95"/>
  <c r="C163" i="95"/>
  <c r="C164" i="95"/>
  <c r="C165" i="95"/>
  <c r="C166" i="95"/>
  <c r="C167" i="95"/>
  <c r="C168" i="95"/>
  <c r="C169" i="95"/>
  <c r="C170" i="95"/>
  <c r="C171" i="95"/>
  <c r="C172" i="95"/>
  <c r="C173" i="95"/>
  <c r="C174" i="95"/>
  <c r="C175" i="95"/>
  <c r="C176" i="95"/>
  <c r="C177" i="95"/>
  <c r="C178" i="95"/>
  <c r="C179" i="95"/>
  <c r="C180" i="95"/>
  <c r="C181" i="95"/>
  <c r="C182" i="95"/>
  <c r="C183" i="95"/>
  <c r="C184" i="95"/>
  <c r="C185" i="95"/>
  <c r="C186" i="95"/>
  <c r="C187" i="95"/>
  <c r="C188" i="95"/>
  <c r="C189" i="95"/>
  <c r="C190" i="95"/>
  <c r="C191" i="95"/>
  <c r="C192" i="95"/>
  <c r="C193" i="95"/>
  <c r="C194" i="95"/>
  <c r="C195" i="95"/>
  <c r="C196" i="95"/>
  <c r="C197" i="95"/>
  <c r="C198" i="95"/>
  <c r="C199" i="95"/>
  <c r="C200" i="95"/>
  <c r="C201" i="95"/>
  <c r="C202" i="95"/>
  <c r="C203" i="95"/>
  <c r="C204" i="95"/>
  <c r="C205" i="95"/>
  <c r="C206" i="95"/>
  <c r="C207" i="95"/>
  <c r="C208" i="95"/>
  <c r="C209" i="95"/>
  <c r="C210" i="95"/>
  <c r="C211" i="95"/>
  <c r="C212" i="95"/>
  <c r="C213" i="95"/>
  <c r="C214" i="95"/>
  <c r="C215" i="95"/>
  <c r="C216" i="95"/>
  <c r="C217" i="95"/>
  <c r="C218" i="95"/>
  <c r="C219" i="95"/>
  <c r="C220" i="95"/>
  <c r="C221" i="95"/>
  <c r="C222" i="95"/>
  <c r="C223" i="95"/>
  <c r="C224" i="95"/>
  <c r="C225" i="95"/>
  <c r="C226" i="95"/>
  <c r="C227" i="95"/>
  <c r="C228" i="95"/>
  <c r="C229" i="95"/>
  <c r="C230" i="95"/>
  <c r="C231" i="95"/>
  <c r="C232" i="95"/>
  <c r="C233" i="95"/>
  <c r="C234" i="95"/>
  <c r="C235" i="95"/>
  <c r="C236" i="95"/>
  <c r="C237" i="95"/>
  <c r="C238" i="95"/>
  <c r="C239" i="95"/>
  <c r="C240" i="95"/>
  <c r="C241" i="95"/>
  <c r="C242" i="95"/>
  <c r="C243" i="95"/>
  <c r="C244" i="95"/>
  <c r="C245" i="95"/>
  <c r="C246" i="95"/>
  <c r="C247" i="95"/>
  <c r="C248" i="95"/>
  <c r="C249" i="95"/>
  <c r="C250" i="95"/>
  <c r="C251" i="95"/>
  <c r="C252" i="95"/>
  <c r="C253" i="95"/>
  <c r="C254" i="95"/>
  <c r="C255" i="95"/>
  <c r="C256" i="95"/>
  <c r="C257" i="95"/>
  <c r="C258" i="95"/>
  <c r="C259" i="95"/>
  <c r="C260" i="95"/>
  <c r="C261" i="95"/>
  <c r="C262" i="95"/>
  <c r="C263" i="95"/>
  <c r="C264" i="95"/>
  <c r="C265" i="95"/>
  <c r="C266" i="95"/>
  <c r="C267" i="95"/>
  <c r="C268" i="95"/>
  <c r="C269" i="95"/>
  <c r="C270" i="95"/>
  <c r="C271" i="95"/>
  <c r="C272" i="95"/>
  <c r="C273" i="95"/>
  <c r="C274" i="95"/>
  <c r="C275" i="95"/>
  <c r="C276" i="95"/>
  <c r="C277" i="95"/>
  <c r="C278" i="95"/>
  <c r="C279" i="95"/>
  <c r="C280" i="95"/>
  <c r="C281" i="95"/>
  <c r="C282" i="95"/>
  <c r="C283" i="95"/>
  <c r="C284" i="95"/>
  <c r="C285" i="95"/>
  <c r="C286" i="95"/>
  <c r="C287" i="95"/>
  <c r="C288" i="95"/>
  <c r="C289" i="95"/>
  <c r="C290" i="95"/>
  <c r="C291" i="95"/>
  <c r="C292" i="95"/>
  <c r="C293" i="95"/>
  <c r="C294" i="95"/>
  <c r="C295" i="95"/>
  <c r="C296" i="95"/>
  <c r="C297" i="95"/>
  <c r="C298" i="95"/>
  <c r="C299" i="95"/>
  <c r="C300" i="95"/>
  <c r="C301" i="95"/>
  <c r="C302" i="95"/>
  <c r="C303" i="95"/>
  <c r="C304" i="95"/>
  <c r="C305" i="95"/>
  <c r="C306" i="95"/>
  <c r="C307" i="95"/>
  <c r="C308" i="95"/>
  <c r="C309" i="95"/>
  <c r="C310" i="95"/>
  <c r="C311" i="95"/>
  <c r="C312" i="95"/>
  <c r="C313" i="95"/>
  <c r="C314" i="95"/>
  <c r="C315" i="95"/>
  <c r="C316" i="95"/>
  <c r="C317" i="95"/>
  <c r="C318" i="95"/>
  <c r="C319" i="95"/>
  <c r="C320" i="95"/>
  <c r="C321" i="95"/>
  <c r="C322" i="95"/>
  <c r="C323" i="95"/>
  <c r="C324" i="95"/>
  <c r="C325" i="95"/>
  <c r="C326" i="95"/>
  <c r="C327" i="95"/>
  <c r="C328" i="95"/>
  <c r="C329" i="95"/>
  <c r="C330" i="95"/>
  <c r="C331" i="95"/>
  <c r="C332" i="95"/>
  <c r="C333" i="95"/>
  <c r="C334" i="95"/>
  <c r="C335" i="95"/>
  <c r="C336" i="95"/>
  <c r="C337" i="95"/>
  <c r="C338" i="95"/>
  <c r="C339" i="95"/>
  <c r="C340" i="95"/>
  <c r="C341" i="95"/>
  <c r="C342" i="95"/>
  <c r="C343" i="95"/>
  <c r="C344" i="95"/>
  <c r="C345" i="95"/>
  <c r="C346" i="95"/>
  <c r="C347" i="95"/>
  <c r="C348" i="95"/>
  <c r="C349" i="95"/>
  <c r="C350" i="95"/>
  <c r="C351" i="95"/>
  <c r="C352" i="95"/>
  <c r="C353" i="95"/>
  <c r="C354" i="95"/>
  <c r="C355" i="95"/>
  <c r="C356" i="95"/>
  <c r="C357" i="95"/>
  <c r="C358" i="95"/>
  <c r="C359" i="95"/>
  <c r="C360" i="95"/>
  <c r="C361" i="95"/>
  <c r="C362" i="95"/>
  <c r="C363" i="95"/>
  <c r="C364" i="95"/>
  <c r="C365" i="95"/>
  <c r="C366" i="95"/>
  <c r="C367" i="95"/>
  <c r="C368" i="95"/>
  <c r="C369" i="95"/>
  <c r="C370" i="95"/>
  <c r="C371" i="95"/>
  <c r="C372" i="95"/>
  <c r="C373" i="95"/>
  <c r="C374" i="95"/>
  <c r="C375" i="95"/>
  <c r="C376" i="95"/>
  <c r="C377" i="95"/>
  <c r="C378" i="95"/>
  <c r="C379" i="95"/>
  <c r="C380" i="95"/>
  <c r="C381" i="95"/>
  <c r="C382" i="95"/>
  <c r="C383" i="95"/>
  <c r="C384" i="95"/>
  <c r="C385" i="95"/>
  <c r="C386" i="95"/>
  <c r="C387" i="95"/>
  <c r="C388" i="95"/>
  <c r="C389" i="95"/>
  <c r="C390" i="95"/>
  <c r="C391" i="95"/>
  <c r="C392" i="95"/>
  <c r="C393" i="95"/>
  <c r="C394" i="95"/>
  <c r="C395" i="95"/>
  <c r="C396" i="95"/>
  <c r="C397" i="95"/>
  <c r="C398" i="95"/>
  <c r="C399" i="95"/>
  <c r="C400" i="95"/>
  <c r="C401" i="95"/>
  <c r="C402" i="95"/>
  <c r="C403" i="95"/>
  <c r="C404" i="95"/>
  <c r="C405" i="95"/>
  <c r="C406" i="95"/>
  <c r="C407" i="95"/>
  <c r="C408" i="95"/>
  <c r="C409" i="95"/>
  <c r="C410" i="95"/>
  <c r="C411" i="95"/>
  <c r="C412" i="95"/>
  <c r="C413" i="95"/>
  <c r="C414" i="95"/>
  <c r="C415" i="95"/>
  <c r="C416" i="95"/>
  <c r="C417" i="95"/>
  <c r="C418" i="95"/>
  <c r="C419" i="95"/>
  <c r="C420" i="95"/>
  <c r="C421" i="95"/>
  <c r="C422" i="95"/>
  <c r="C423" i="95"/>
  <c r="C424" i="95"/>
  <c r="C425" i="95"/>
  <c r="C426" i="95"/>
  <c r="C427" i="95"/>
  <c r="C428" i="95"/>
  <c r="C429" i="95"/>
  <c r="C430" i="95"/>
  <c r="C431" i="95"/>
  <c r="C432" i="95"/>
  <c r="C433" i="95"/>
  <c r="C434" i="95"/>
  <c r="C435" i="95"/>
  <c r="C436" i="95"/>
  <c r="C437" i="95"/>
  <c r="C438" i="95"/>
  <c r="C439" i="95"/>
  <c r="C440" i="95"/>
  <c r="C441" i="95"/>
  <c r="C4" i="95"/>
  <c r="F23" i="93"/>
  <c r="F24" i="93" s="1"/>
  <c r="C5" i="93"/>
  <c r="C6" i="93"/>
  <c r="C7" i="93"/>
  <c r="C8" i="93"/>
  <c r="C9" i="93"/>
  <c r="C10" i="93"/>
  <c r="C11" i="93"/>
  <c r="C12" i="93"/>
  <c r="C13" i="93"/>
  <c r="C14" i="93"/>
  <c r="C15" i="93"/>
  <c r="C16" i="93"/>
  <c r="C17" i="93"/>
  <c r="C18" i="93"/>
  <c r="C19" i="93"/>
  <c r="C20" i="93"/>
  <c r="C21" i="93"/>
  <c r="C22" i="93"/>
  <c r="C23" i="93"/>
  <c r="C24" i="93"/>
  <c r="C25" i="93"/>
  <c r="C26" i="93"/>
  <c r="C27" i="93"/>
  <c r="C28" i="93"/>
  <c r="C29" i="93"/>
  <c r="C30" i="93"/>
  <c r="C31" i="93"/>
  <c r="C32" i="93"/>
  <c r="C33" i="93"/>
  <c r="C34" i="93"/>
  <c r="C35" i="93"/>
  <c r="C36" i="93"/>
  <c r="C37" i="93"/>
  <c r="C38" i="93"/>
  <c r="C39" i="93"/>
  <c r="C40" i="93"/>
  <c r="C41" i="93"/>
  <c r="C42" i="93"/>
  <c r="C43" i="93"/>
  <c r="C44" i="93"/>
  <c r="C45" i="93"/>
  <c r="C46" i="93"/>
  <c r="C47" i="93"/>
  <c r="C48" i="93"/>
  <c r="C49" i="93"/>
  <c r="C4" i="93"/>
  <c r="F23" i="89"/>
  <c r="F24" i="89" s="1"/>
  <c r="C5" i="89"/>
  <c r="C6" i="89"/>
  <c r="C7" i="89"/>
  <c r="C8" i="89"/>
  <c r="C9" i="89"/>
  <c r="C10" i="89"/>
  <c r="C11" i="89"/>
  <c r="C12" i="89"/>
  <c r="C13" i="89"/>
  <c r="C14" i="89"/>
  <c r="C15" i="89"/>
  <c r="C16" i="89"/>
  <c r="C17" i="89"/>
  <c r="C18" i="89"/>
  <c r="C19" i="89"/>
  <c r="C20" i="89"/>
  <c r="C21" i="89"/>
  <c r="C22" i="89"/>
  <c r="C23" i="89"/>
  <c r="C24" i="89"/>
  <c r="C25" i="89"/>
  <c r="C26" i="89"/>
  <c r="C27" i="89"/>
  <c r="C28" i="89"/>
  <c r="C29" i="89"/>
  <c r="C30" i="89"/>
  <c r="C31" i="89"/>
  <c r="C32" i="89"/>
  <c r="C33" i="89"/>
  <c r="C34" i="89"/>
  <c r="C35" i="89"/>
  <c r="C36" i="89"/>
  <c r="C37" i="89"/>
  <c r="C38" i="89"/>
  <c r="C39" i="89"/>
  <c r="C40" i="89"/>
  <c r="C41" i="89"/>
  <c r="C42" i="89"/>
  <c r="C43" i="89"/>
  <c r="C44" i="89"/>
  <c r="C45" i="89"/>
  <c r="C46" i="89"/>
  <c r="C47" i="89"/>
  <c r="C4" i="89"/>
  <c r="F23" i="91"/>
  <c r="F24" i="91" s="1"/>
  <c r="C5" i="91"/>
  <c r="C6" i="91"/>
  <c r="C7" i="91"/>
  <c r="C8" i="91"/>
  <c r="C9" i="91"/>
  <c r="C10" i="91"/>
  <c r="C11" i="91"/>
  <c r="C12" i="91"/>
  <c r="C13" i="91"/>
  <c r="C14" i="91"/>
  <c r="C15" i="91"/>
  <c r="C16" i="91"/>
  <c r="C17" i="91"/>
  <c r="C18" i="91"/>
  <c r="C19" i="91"/>
  <c r="C20" i="91"/>
  <c r="C21" i="91"/>
  <c r="C22" i="91"/>
  <c r="C23" i="91"/>
  <c r="C24" i="91"/>
  <c r="C25" i="91"/>
  <c r="C26" i="91"/>
  <c r="C27" i="91"/>
  <c r="C28" i="91"/>
  <c r="C29" i="91"/>
  <c r="C30" i="91"/>
  <c r="C31" i="91"/>
  <c r="C32" i="91"/>
  <c r="C33" i="91"/>
  <c r="C34" i="91"/>
  <c r="C35" i="91"/>
  <c r="C36" i="91"/>
  <c r="C37" i="91"/>
  <c r="C38" i="91"/>
  <c r="C39" i="91"/>
  <c r="C4" i="91"/>
  <c r="F23" i="88"/>
  <c r="F24" i="88" s="1"/>
  <c r="C5" i="88" l="1"/>
  <c r="C6" i="88"/>
  <c r="C7" i="88"/>
  <c r="C8" i="88"/>
  <c r="C9" i="88"/>
  <c r="C10" i="88"/>
  <c r="C11" i="88"/>
  <c r="C12" i="88"/>
  <c r="C13" i="88"/>
  <c r="C14" i="88"/>
  <c r="C15" i="88"/>
  <c r="C16" i="88"/>
  <c r="C17" i="88"/>
  <c r="C18" i="88"/>
  <c r="C19" i="88"/>
  <c r="C20" i="88"/>
  <c r="C21" i="88"/>
  <c r="C22" i="88"/>
  <c r="C23" i="88"/>
  <c r="C24" i="88"/>
  <c r="C25" i="88"/>
  <c r="C26" i="88"/>
  <c r="C27" i="88"/>
  <c r="C28" i="88"/>
  <c r="C29" i="88"/>
  <c r="C30" i="88"/>
  <c r="C31" i="88"/>
  <c r="C32" i="88"/>
  <c r="C33" i="88"/>
  <c r="C34" i="88"/>
  <c r="C35" i="88"/>
  <c r="C36" i="88"/>
  <c r="C37" i="88"/>
  <c r="C38" i="88"/>
  <c r="C39" i="88"/>
  <c r="C40" i="88"/>
  <c r="C41" i="88"/>
  <c r="C42" i="88"/>
  <c r="C43" i="88"/>
  <c r="C44" i="88"/>
  <c r="C45" i="88"/>
  <c r="C46" i="88"/>
  <c r="C47" i="88"/>
  <c r="C48" i="88"/>
  <c r="C49" i="88"/>
  <c r="C50" i="88"/>
  <c r="C51" i="88"/>
  <c r="C52" i="88"/>
  <c r="C53" i="88"/>
  <c r="C54" i="88"/>
  <c r="C55" i="88"/>
  <c r="C56" i="88"/>
  <c r="C57" i="88"/>
  <c r="C58" i="88"/>
  <c r="C59" i="88"/>
  <c r="C60" i="88"/>
  <c r="C61" i="88"/>
  <c r="C62" i="88"/>
  <c r="C63" i="88"/>
  <c r="C64" i="88"/>
  <c r="C65" i="88"/>
  <c r="C66" i="88"/>
  <c r="C67" i="88"/>
  <c r="C68" i="88"/>
  <c r="C69" i="88"/>
  <c r="C70" i="88"/>
  <c r="C71" i="88"/>
  <c r="C72" i="88"/>
  <c r="C73" i="88"/>
  <c r="C74" i="88"/>
  <c r="C75" i="88"/>
  <c r="C76" i="88"/>
  <c r="C77" i="88"/>
  <c r="C78" i="88"/>
  <c r="C79" i="88"/>
  <c r="C80" i="88"/>
  <c r="C81" i="88"/>
  <c r="C82" i="88"/>
  <c r="C83" i="88"/>
  <c r="C84" i="88"/>
  <c r="C85" i="88"/>
  <c r="C86" i="88"/>
  <c r="C87" i="88"/>
  <c r="C88" i="88"/>
  <c r="C89" i="88"/>
  <c r="C90" i="88"/>
  <c r="C91" i="88"/>
  <c r="C92" i="88"/>
  <c r="C93" i="88"/>
  <c r="C94" i="88"/>
  <c r="C95" i="88"/>
  <c r="C96" i="88"/>
  <c r="C97" i="88"/>
  <c r="C98" i="88"/>
  <c r="C99" i="88"/>
  <c r="C100" i="88"/>
  <c r="C101" i="88"/>
  <c r="C102" i="88"/>
  <c r="C103" i="88"/>
  <c r="C104" i="88"/>
  <c r="C105" i="88"/>
  <c r="C106" i="88"/>
  <c r="C107" i="88"/>
  <c r="C108" i="88"/>
  <c r="C109" i="88"/>
  <c r="C110" i="88"/>
  <c r="C111" i="88"/>
  <c r="C112" i="88"/>
  <c r="C113" i="88"/>
  <c r="C114" i="88"/>
  <c r="C115" i="88"/>
  <c r="C116" i="88"/>
  <c r="C117" i="88"/>
  <c r="C118" i="88"/>
  <c r="C119" i="88"/>
  <c r="C120" i="88"/>
  <c r="C121" i="88"/>
  <c r="C122" i="88"/>
  <c r="C123" i="88"/>
  <c r="C124" i="88"/>
  <c r="C125" i="88"/>
  <c r="C126" i="88"/>
  <c r="C127" i="88"/>
  <c r="C128" i="88"/>
  <c r="C129" i="88"/>
  <c r="C130" i="88"/>
  <c r="C4" i="88"/>
  <c r="A1" i="90"/>
  <c r="C1" i="90" s="1"/>
  <c r="A1" i="92"/>
  <c r="C1" i="92" s="1"/>
  <c r="A1" i="94"/>
  <c r="C1" i="94" s="1"/>
  <c r="A1" i="96"/>
  <c r="C1" i="96" s="1"/>
  <c r="A1" i="95"/>
  <c r="C1" i="95" s="1"/>
  <c r="A1" i="93"/>
  <c r="C1" i="93" s="1"/>
  <c r="A1" i="89"/>
  <c r="C1" i="89" s="1"/>
  <c r="A1" i="91"/>
  <c r="C1" i="91" s="1"/>
  <c r="A1" i="88"/>
  <c r="C1" i="88" s="1"/>
</calcChain>
</file>

<file path=xl/sharedStrings.xml><?xml version="1.0" encoding="utf-8"?>
<sst xmlns="http://schemas.openxmlformats.org/spreadsheetml/2006/main" count="298" uniqueCount="45">
  <si>
    <t>ANC NEW</t>
  </si>
  <si>
    <t>Initial pH:</t>
  </si>
  <si>
    <t>Start Row:</t>
  </si>
  <si>
    <t>End Row: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</si>
  <si>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</si>
  <si>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</si>
  <si>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</si>
  <si>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</si>
  <si>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</si>
  <si>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</si>
  <si>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</si>
  <si>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</si>
  <si>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</si>
  <si>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</si>
  <si>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</si>
  <si>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</si>
  <si>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</si>
  <si>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</si>
  <si>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</si>
  <si>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</si>
  <si>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</si>
  <si>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</si>
  <si>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</si>
  <si>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</si>
  <si>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</si>
  <si>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</si>
  <si>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X Variable 1</t>
  </si>
  <si>
    <t>x-intercept:</t>
  </si>
  <si>
    <t>ANC:</t>
  </si>
  <si>
    <t>ANC RESULTS</t>
  </si>
  <si>
    <t>Sample</t>
  </si>
  <si>
    <t>ANC</t>
  </si>
  <si>
    <t>%R pH</t>
  </si>
  <si>
    <t>%R ANC</t>
  </si>
  <si>
    <t>pH</t>
  </si>
  <si>
    <t>Initial ANC</t>
  </si>
  <si>
    <t>CCV1</t>
  </si>
  <si>
    <t>CCV2</t>
  </si>
  <si>
    <t>Blank</t>
  </si>
  <si>
    <t>CCB1</t>
  </si>
  <si>
    <t>CCB2</t>
  </si>
  <si>
    <t>Field Blank</t>
  </si>
  <si>
    <t>MWR-NE</t>
  </si>
  <si>
    <t>MWR-SE</t>
  </si>
  <si>
    <t>MWR-N/S (Filtered)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</si>
</sst>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CC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2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Continuous"/>
    </xf>
    <xf numFmtId="0" fontId="3" fillId="0" borderId="0" xfId="0" applyFont="1"/>
    <xf numFmtId="0" fontId="0" fillId="2" borderId="0" xfId="0" applyFill="1"/>
    <xf numFmtId="0" fontId="1" fillId="0" borderId="0" xfId="0" applyFont="1"/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0" fillId="3" borderId="0" xfId="0" applyNumberFormat="1" applyFill="1"/>
    <xf numFmtId="164" fontId="6" fillId="3" borderId="0" xfId="0" applyNumberFormat="1" applyFont="1" applyFill="1"/>
    <xf numFmtId="2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2"/>
  <sheetViews>
    <sheetView workbookViewId="0">
      <selection activeCell="B35" sqref="B35"/>
    </sheetView>
  </sheetViews>
  <sheetFormatPr defaultRowHeight="15" x14ac:dyDescent="0.25"/>
  <cols>
    <col min="1" max="1" width="18.85546875" bestFit="1" customWidth="1"/>
  </cols>
  <sheetData>
    <row r="1" spans="1:3" x14ac:dyDescent="0.25">
      <c r="A1" s="6" t="s">
        <v>29</v>
      </c>
    </row>
    <row r="3" spans="1:3" x14ac:dyDescent="0.25">
      <c r="A3" s="7" t="s">
        <v>30</v>
      </c>
      <c r="B3" s="8" t="s">
        <v>31</v>
      </c>
      <c r="C3" s="8" t="s">
        <v>34</v>
      </c>
    </row>
    <row r="4" spans="1:3" x14ac:dyDescent="0.25">
      <c r="A4" t="s">
        <v>38</v>
      </c>
      <c r="B4" s="12">
        <v>1167.0699489077122</v>
      </c>
      <c r="C4" s="12">
        <v>5.7487359046936</v>
      </c>
    </row>
    <row r="5" spans="1:3" x14ac:dyDescent="0.25">
      <c r="A5" t="s">
        <v>36</v>
      </c>
      <c r="B5" s="12">
        <v>-115.74276435896607</v>
      </c>
      <c r="C5" s="12">
        <v>3.8609943389892498</v>
      </c>
    </row>
    <row r="6" spans="1:3" x14ac:dyDescent="0.25">
      <c r="A6" t="s">
        <v>39</v>
      </c>
      <c r="B6" s="12">
        <v>-4.5424391232793848</v>
      </c>
      <c r="C6" s="12">
        <v>4.9260005950927699</v>
      </c>
    </row>
    <row r="7" spans="1:3" x14ac:dyDescent="0.25">
      <c r="A7" t="s">
        <v>41</v>
      </c>
      <c r="B7" s="12">
        <v>20.456032148525217</v>
      </c>
      <c r="C7" s="12">
        <v>5.5711097717285103</v>
      </c>
    </row>
    <row r="8" spans="1:3" x14ac:dyDescent="0.25">
      <c r="A8" t="s">
        <v>42</v>
      </c>
      <c r="B8" s="12">
        <v>5450.737795776633</v>
      </c>
      <c r="C8" s="12">
        <v>8.0775108337402308</v>
      </c>
    </row>
    <row r="9" spans="1:3" x14ac:dyDescent="0.25">
      <c r="A9" t="s">
        <v>43</v>
      </c>
      <c r="B9" s="12">
        <v>5188.0815572907086</v>
      </c>
      <c r="C9" s="12">
        <v>7.6425304412841797</v>
      </c>
    </row>
    <row r="10" spans="1:3" x14ac:dyDescent="0.25">
      <c r="A10" t="s">
        <v>44</v>
      </c>
      <c r="B10" s="12">
        <v>6584.9033423876599</v>
      </c>
      <c r="C10" s="12">
        <v>7.5594930648803702</v>
      </c>
    </row>
    <row r="11" spans="1:3" x14ac:dyDescent="0.25">
      <c r="A11" t="s">
        <v>37</v>
      </c>
      <c r="B11" s="12">
        <v>-128.05965505204333</v>
      </c>
      <c r="C11" s="12">
        <v>3.8477871417999201</v>
      </c>
    </row>
    <row r="12" spans="1:3" x14ac:dyDescent="0.25">
      <c r="A12" t="s">
        <v>40</v>
      </c>
      <c r="B12" s="12">
        <v>0.56606761968804908</v>
      </c>
      <c r="C12" s="12">
        <v>4.94817686080932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CDD2B-3F95-411C-8F9C-69CEC050AAD0}">
  <dimension ref="A1:F4"/>
  <sheetViews>
    <sheetView workbookViewId="0">
      <selection activeCell="D19" sqref="D19"/>
    </sheetView>
  </sheetViews>
  <sheetFormatPr defaultRowHeight="15" x14ac:dyDescent="0.25"/>
  <cols>
    <col min="2" max="2" width="10.42578125" bestFit="1" customWidth="1"/>
    <col min="3" max="3" width="6.5703125" bestFit="1" customWidth="1"/>
    <col min="5" max="5" width="8.5703125" bestFit="1" customWidth="1"/>
    <col min="6" max="6" width="9.28515625" bestFit="1" customWidth="1"/>
  </cols>
  <sheetData>
    <row r="1" spans="1:6" x14ac:dyDescent="0.25">
      <c r="A1" s="7" t="s">
        <v>30</v>
      </c>
      <c r="B1" s="7" t="s">
        <v>35</v>
      </c>
      <c r="C1" s="8" t="s">
        <v>34</v>
      </c>
      <c r="E1" t="s">
        <v>33</v>
      </c>
      <c r="F1" t="s">
        <v>32</v>
      </c>
    </row>
    <row r="2" spans="1:6" x14ac:dyDescent="0.25">
      <c r="A2" t="s">
        <v>36</v>
      </c>
      <c r="B2" s="12">
        <v>-115.74276435896607</v>
      </c>
      <c r="C2" s="12">
        <v>3.8609943389892498</v>
      </c>
      <c r="D2" s="9"/>
      <c r="E2" s="11">
        <f>(ABS(B2)/100*100)</f>
        <v>115.74276435896607</v>
      </c>
      <c r="F2" s="10">
        <f>C2/4*100</f>
        <v>96.524858474731246</v>
      </c>
    </row>
    <row r="3" spans="1:6" x14ac:dyDescent="0.25">
      <c r="A3" t="s">
        <v>37</v>
      </c>
      <c r="B3" s="12">
        <v>-128.05965505204333</v>
      </c>
      <c r="C3" s="12">
        <v>3.8477871417999201</v>
      </c>
      <c r="D3" s="9"/>
      <c r="E3" s="11">
        <f>(ABS(B3)/100*100)</f>
        <v>128.05965505204333</v>
      </c>
      <c r="F3" s="10">
        <f>C3/4*100</f>
        <v>96.194678544997998</v>
      </c>
    </row>
    <row r="4" spans="1:6" x14ac:dyDescent="0.25">
      <c r="B4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CCB86-1060-421E-B513-717F0AAD809C}">
  <dimension ref="A1:C7"/>
  <sheetViews>
    <sheetView tabSelected="1" workbookViewId="0">
      <selection activeCell="C31" sqref="C31"/>
    </sheetView>
  </sheetViews>
  <sheetFormatPr defaultRowHeight="15" x14ac:dyDescent="0.25"/>
  <cols>
    <col min="1" max="1" width="18.85546875" bestFit="1" customWidth="1"/>
  </cols>
  <sheetData>
    <row r="1" spans="1:3" x14ac:dyDescent="0.25">
      <c r="A1" s="6" t="s">
        <v>29</v>
      </c>
    </row>
    <row r="3" spans="1:3" x14ac:dyDescent="0.25">
      <c r="A3" s="13" t="s">
        <v>30</v>
      </c>
      <c r="B3" s="14" t="s">
        <v>34</v>
      </c>
      <c r="C3" s="14" t="s">
        <v>31</v>
      </c>
    </row>
    <row r="4" spans="1:3" x14ac:dyDescent="0.25">
      <c r="A4" t="s">
        <v>41</v>
      </c>
      <c r="B4" s="12">
        <v>5.5711097717285103</v>
      </c>
      <c r="C4" s="12">
        <v>20.456032148525217</v>
      </c>
    </row>
    <row r="5" spans="1:3" x14ac:dyDescent="0.25">
      <c r="A5" t="s">
        <v>42</v>
      </c>
      <c r="B5" s="12">
        <v>8.0775108337402308</v>
      </c>
      <c r="C5" s="12">
        <v>5450.737795776633</v>
      </c>
    </row>
    <row r="6" spans="1:3" x14ac:dyDescent="0.25">
      <c r="A6" t="s">
        <v>43</v>
      </c>
      <c r="B6" s="12">
        <v>7.6425304412841797</v>
      </c>
      <c r="C6" s="12">
        <v>5188.0815572907086</v>
      </c>
    </row>
    <row r="7" spans="1:3" x14ac:dyDescent="0.25">
      <c r="A7" t="s">
        <v>44</v>
      </c>
      <c r="B7" s="12">
        <v>7.5594930648803702</v>
      </c>
      <c r="C7" s="12">
        <v>6584.9033423876599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30"/>
  <sheetViews>
    <sheetView workbookViewId="0">
      <selection activeCell="B4" sqref="B4"/>
    </sheetView>
  </sheetViews>
  <sheetFormatPr defaultRowHeight="15" x14ac:dyDescent="0.25"/>
  <sheetData>
    <row r="1" spans="1:15" x14ac:dyDescent="0.25">
      <c r="A1" t="str">
        <f ca="1">MID(CELL("filename",A1),FIND("]",CELL("filename",A1))+1,3)</f>
        <v>Bla</v>
      </c>
      <c r="C1" t="str">
        <f ca="1">A1</f>
        <v>Bla</v>
      </c>
    </row>
    <row r="2" spans="1:15" x14ac:dyDescent="0.25">
      <c r="A2">
        <v>100</v>
      </c>
    </row>
    <row r="3" spans="1:15" x14ac:dyDescent="0.25">
      <c r="A3" t="s">
        <v>0</v>
      </c>
    </row>
    <row r="4" spans="1:15" x14ac:dyDescent="0.25">
      <c r="A4">
        <v>0</v>
      </c>
      <c r="B4">
        <v>5.7487359046936</v>
      </c>
      <c r="C4">
        <f>(10^-B4)*(100+A4)</f>
        <v>1.783462965008878E-4</v>
      </c>
      <c r="E4" t="s">
        <v>4</v>
      </c>
    </row>
    <row r="5" spans="1:15" ht="15.75" thickBot="1" x14ac:dyDescent="0.3">
      <c r="A5">
        <v>1.3999998569488499E-2</v>
      </c>
      <c r="B5">
        <v>5.7535586357116699</v>
      </c>
      <c r="C5">
        <f t="shared" ref="C5:C68" si="0">(10^-B5)*(100+A5)</f>
        <v>1.7640145430217918E-4</v>
      </c>
    </row>
    <row r="6" spans="1:15" x14ac:dyDescent="0.25">
      <c r="A6">
        <v>2.7999997138976999E-2</v>
      </c>
      <c r="B6">
        <v>5.7603368759155202</v>
      </c>
      <c r="C6">
        <f t="shared" si="0"/>
        <v>1.7369395714760837E-4</v>
      </c>
      <c r="E6" s="3" t="s">
        <v>5</v>
      </c>
      <c r="F6" s="3"/>
    </row>
    <row r="7" spans="1:15" x14ac:dyDescent="0.25">
      <c r="A7">
        <v>4.19999957084655E-2</v>
      </c>
      <c r="B7">
        <v>5.7639670372009197</v>
      </c>
      <c r="C7">
        <f t="shared" si="0"/>
        <v>1.7227225087867307E-4</v>
      </c>
      <c r="E7" t="s">
        <v>6</v>
      </c>
      <c r="F7">
        <v>0.99989496595357885</v>
      </c>
    </row>
    <row r="8" spans="1:15" x14ac:dyDescent="0.25">
      <c r="A8">
        <v>5.5999994277954102E-2</v>
      </c>
      <c r="B8">
        <v>5.7684860229492099</v>
      </c>
      <c r="C8">
        <f t="shared" si="0"/>
        <v>1.7051285018991071E-4</v>
      </c>
      <c r="E8" t="s">
        <v>7</v>
      </c>
      <c r="F8">
        <v>0.99978994293930867</v>
      </c>
    </row>
    <row r="9" spans="1:15" x14ac:dyDescent="0.25">
      <c r="A9">
        <v>6.9999992847442599E-2</v>
      </c>
      <c r="B9">
        <v>5.76578617095947</v>
      </c>
      <c r="C9">
        <f t="shared" si="0"/>
        <v>1.7160017594136537E-4</v>
      </c>
      <c r="E9" t="s">
        <v>8</v>
      </c>
      <c r="F9">
        <v>0.99978376479046482</v>
      </c>
      <c r="N9" t="s">
        <v>1</v>
      </c>
      <c r="O9">
        <v>3.9514794349670401</v>
      </c>
    </row>
    <row r="10" spans="1:15" x14ac:dyDescent="0.25">
      <c r="A10">
        <v>8.3999991416931097E-2</v>
      </c>
      <c r="B10">
        <v>5.7662377357482901</v>
      </c>
      <c r="C10">
        <f t="shared" si="0"/>
        <v>1.7144582684829529E-4</v>
      </c>
      <c r="E10" t="s">
        <v>9</v>
      </c>
      <c r="F10">
        <v>2.403845175905253E-4</v>
      </c>
    </row>
    <row r="11" spans="1:15" ht="15.75" thickBot="1" x14ac:dyDescent="0.3">
      <c r="A11">
        <v>9.7999989986419594E-2</v>
      </c>
      <c r="B11">
        <v>5.7645978927612296</v>
      </c>
      <c r="C11">
        <f t="shared" si="0"/>
        <v>1.7211848208360304E-4</v>
      </c>
      <c r="E11" s="1" t="s">
        <v>10</v>
      </c>
      <c r="F11" s="1">
        <v>36</v>
      </c>
      <c r="N11" t="s">
        <v>2</v>
      </c>
      <c r="O11">
        <v>95</v>
      </c>
    </row>
    <row r="12" spans="1:15" x14ac:dyDescent="0.25">
      <c r="A12">
        <v>0.11199998855590799</v>
      </c>
      <c r="B12">
        <v>5.7676830291748002</v>
      </c>
      <c r="C12">
        <f t="shared" si="0"/>
        <v>1.7092402388660022E-4</v>
      </c>
      <c r="N12" t="s">
        <v>3</v>
      </c>
      <c r="O12">
        <v>130</v>
      </c>
    </row>
    <row r="13" spans="1:15" ht="15.75" thickBot="1" x14ac:dyDescent="0.3">
      <c r="A13">
        <v>0.12599998712539601</v>
      </c>
      <c r="B13">
        <v>5.7617840766906703</v>
      </c>
      <c r="C13">
        <f t="shared" si="0"/>
        <v>1.7328572585475536E-4</v>
      </c>
      <c r="E13" t="s">
        <v>11</v>
      </c>
    </row>
    <row r="14" spans="1:15" x14ac:dyDescent="0.25">
      <c r="A14">
        <v>0.139999985694885</v>
      </c>
      <c r="B14">
        <v>5.76273393630981</v>
      </c>
      <c r="C14">
        <f t="shared" si="0"/>
        <v>1.7293131768795925E-4</v>
      </c>
      <c r="E14" s="2"/>
      <c r="F14" s="2" t="s">
        <v>16</v>
      </c>
      <c r="G14" s="2" t="s">
        <v>17</v>
      </c>
      <c r="H14" s="2" t="s">
        <v>18</v>
      </c>
      <c r="I14" s="2" t="s">
        <v>19</v>
      </c>
      <c r="J14" s="2" t="s">
        <v>20</v>
      </c>
    </row>
    <row r="15" spans="1:15" x14ac:dyDescent="0.25">
      <c r="A15">
        <v>0.153999984264373</v>
      </c>
      <c r="B15">
        <v>5.7598528861999503</v>
      </c>
      <c r="C15">
        <f t="shared" si="0"/>
        <v>1.7410667143688704E-4</v>
      </c>
      <c r="E15" t="s">
        <v>12</v>
      </c>
      <c r="F15">
        <v>1</v>
      </c>
      <c r="G15">
        <v>9.3511146574264733E-3</v>
      </c>
      <c r="H15">
        <v>9.3511146574264733E-3</v>
      </c>
      <c r="I15">
        <v>161826.78148538049</v>
      </c>
      <c r="J15">
        <v>4.1000073491074753E-64</v>
      </c>
    </row>
    <row r="16" spans="1:15" x14ac:dyDescent="0.25">
      <c r="A16">
        <v>0.167999982833862</v>
      </c>
      <c r="B16">
        <v>5.7608051300048801</v>
      </c>
      <c r="C16">
        <f t="shared" si="0"/>
        <v>1.7374962360956723E-4</v>
      </c>
      <c r="E16" t="s">
        <v>13</v>
      </c>
      <c r="F16">
        <v>34</v>
      </c>
      <c r="G16">
        <v>1.9646803541058051E-6</v>
      </c>
      <c r="H16">
        <v>5.7784716297229565E-8</v>
      </c>
    </row>
    <row r="17" spans="1:11" ht="15.75" thickBot="1" x14ac:dyDescent="0.3">
      <c r="A17">
        <v>0.18199998140335</v>
      </c>
      <c r="B17">
        <v>5.7609729766845703</v>
      </c>
      <c r="C17">
        <f t="shared" si="0"/>
        <v>1.7370676037419154E-4</v>
      </c>
      <c r="E17" s="1" t="s">
        <v>14</v>
      </c>
      <c r="F17" s="1">
        <v>35</v>
      </c>
      <c r="G17" s="1">
        <v>9.3530793377805798E-3</v>
      </c>
      <c r="H17" s="1"/>
      <c r="I17" s="1"/>
      <c r="J17" s="1"/>
    </row>
    <row r="18" spans="1:11" ht="15.75" thickBot="1" x14ac:dyDescent="0.3">
      <c r="A18">
        <v>0.19599997997283899</v>
      </c>
      <c r="B18">
        <v>5.7591562271118102</v>
      </c>
      <c r="C18">
        <f t="shared" si="0"/>
        <v>1.7445931257349163E-4</v>
      </c>
    </row>
    <row r="19" spans="1:11" x14ac:dyDescent="0.25">
      <c r="A19">
        <v>0.20999997854232699</v>
      </c>
      <c r="B19">
        <v>5.75929450988769</v>
      </c>
      <c r="C19">
        <f t="shared" si="0"/>
        <v>1.7442814096296216E-4</v>
      </c>
      <c r="E19" s="2"/>
      <c r="F19" s="2" t="s">
        <v>21</v>
      </c>
      <c r="G19" s="2" t="s">
        <v>9</v>
      </c>
      <c r="H19" s="2" t="s">
        <v>22</v>
      </c>
      <c r="I19" s="2" t="s">
        <v>23</v>
      </c>
      <c r="J19" s="2" t="s">
        <v>24</v>
      </c>
      <c r="K19" s="2" t="s">
        <v>25</v>
      </c>
    </row>
    <row r="20" spans="1:11" x14ac:dyDescent="0.25">
      <c r="A20">
        <v>0.22399997711181599</v>
      </c>
      <c r="B20">
        <v>5.7531819343566797</v>
      </c>
      <c r="C20">
        <f t="shared" si="0"/>
        <v>1.7692524156825201E-4</v>
      </c>
      <c r="E20" t="s">
        <v>15</v>
      </c>
      <c r="F20">
        <v>-0.12933172889123021</v>
      </c>
      <c r="G20">
        <v>4.2036084493839838E-4</v>
      </c>
      <c r="H20">
        <v>-307.66835315069147</v>
      </c>
      <c r="I20">
        <v>3.7218210309021222E-60</v>
      </c>
      <c r="J20">
        <v>-0.13018600491028842</v>
      </c>
      <c r="K20">
        <v>-0.12847745287217199</v>
      </c>
    </row>
    <row r="21" spans="1:11" ht="15.75" thickBot="1" x14ac:dyDescent="0.3">
      <c r="A21">
        <v>0.23799997568130399</v>
      </c>
      <c r="B21">
        <v>5.7559137344360298</v>
      </c>
      <c r="C21">
        <f t="shared" si="0"/>
        <v>1.7584039807901807E-4</v>
      </c>
      <c r="E21" s="1" t="s">
        <v>26</v>
      </c>
      <c r="F21" s="1">
        <v>0.11081746129465057</v>
      </c>
      <c r="G21" s="1">
        <v>2.7547551166298511E-4</v>
      </c>
      <c r="H21" s="1">
        <v>402.27699596842535</v>
      </c>
      <c r="I21" s="1">
        <v>4.1000073491073586E-64</v>
      </c>
      <c r="J21" s="1">
        <v>0.11025762769862198</v>
      </c>
      <c r="K21" s="1">
        <v>0.11137729489067917</v>
      </c>
    </row>
    <row r="22" spans="1:11" x14ac:dyDescent="0.25">
      <c r="A22">
        <v>0.25199997425079301</v>
      </c>
      <c r="B22">
        <v>5.7534532546996999</v>
      </c>
      <c r="C22">
        <f t="shared" si="0"/>
        <v>1.7686414160786976E-4</v>
      </c>
    </row>
    <row r="23" spans="1:11" x14ac:dyDescent="0.25">
      <c r="A23">
        <v>0.26599997282028198</v>
      </c>
      <c r="B23">
        <v>5.7524309158325098</v>
      </c>
      <c r="C23">
        <f t="shared" si="0"/>
        <v>1.7730573110029272E-4</v>
      </c>
      <c r="E23" s="4" t="s">
        <v>27</v>
      </c>
      <c r="F23">
        <f>+(-F20/F21)</f>
        <v>1.1670699489077121</v>
      </c>
    </row>
    <row r="24" spans="1:11" x14ac:dyDescent="0.25">
      <c r="A24">
        <v>0.27999997138977001</v>
      </c>
      <c r="B24">
        <v>5.7504220008850098</v>
      </c>
      <c r="C24">
        <f t="shared" si="0"/>
        <v>1.7815266536741015E-4</v>
      </c>
      <c r="E24" s="4" t="s">
        <v>28</v>
      </c>
      <c r="F24" s="5">
        <f>+(F23*0.1*1000000)/100</f>
        <v>1167.0699489077122</v>
      </c>
    </row>
    <row r="25" spans="1:11" x14ac:dyDescent="0.25">
      <c r="A25">
        <v>0.29399996995925898</v>
      </c>
      <c r="B25">
        <v>5.7510442733764604</v>
      </c>
      <c r="C25">
        <f t="shared" si="0"/>
        <v>1.779224208346518E-4</v>
      </c>
    </row>
    <row r="26" spans="1:11" x14ac:dyDescent="0.25">
      <c r="A26">
        <v>0.307999968528747</v>
      </c>
      <c r="B26">
        <v>5.7493548393249503</v>
      </c>
      <c r="C26">
        <f t="shared" si="0"/>
        <v>1.7864083161773145E-4</v>
      </c>
    </row>
    <row r="27" spans="1:11" x14ac:dyDescent="0.25">
      <c r="A27">
        <v>0.32199996709823597</v>
      </c>
      <c r="B27">
        <v>5.7487444877624503</v>
      </c>
      <c r="C27">
        <f t="shared" si="0"/>
        <v>1.7891703550054468E-4</v>
      </c>
    </row>
    <row r="28" spans="1:11" x14ac:dyDescent="0.25">
      <c r="A28">
        <v>0.335999965667724</v>
      </c>
      <c r="B28">
        <v>5.7466254234313903</v>
      </c>
      <c r="C28">
        <f t="shared" si="0"/>
        <v>1.7981725342375852E-4</v>
      </c>
    </row>
    <row r="29" spans="1:11" x14ac:dyDescent="0.25">
      <c r="A29">
        <v>0.34999996423721302</v>
      </c>
      <c r="B29">
        <v>5.7467966079711896</v>
      </c>
      <c r="C29">
        <f t="shared" si="0"/>
        <v>1.7977146959136811E-4</v>
      </c>
    </row>
    <row r="30" spans="1:11" x14ac:dyDescent="0.25">
      <c r="A30">
        <v>0.36399996280670099</v>
      </c>
      <c r="B30">
        <v>5.7443795204162598</v>
      </c>
      <c r="C30">
        <f t="shared" si="0"/>
        <v>1.8080000626388129E-4</v>
      </c>
    </row>
    <row r="31" spans="1:11" x14ac:dyDescent="0.25">
      <c r="A31">
        <v>0.37799996137619002</v>
      </c>
      <c r="B31">
        <v>5.7426004409790004</v>
      </c>
      <c r="C31">
        <f t="shared" si="0"/>
        <v>1.8156749301099853E-4</v>
      </c>
    </row>
    <row r="32" spans="1:11" x14ac:dyDescent="0.25">
      <c r="A32">
        <v>0.39199995994567799</v>
      </c>
      <c r="B32">
        <v>5.7445607185363698</v>
      </c>
      <c r="C32">
        <f t="shared" si="0"/>
        <v>1.8077500723303843E-4</v>
      </c>
    </row>
    <row r="33" spans="1:3" x14ac:dyDescent="0.25">
      <c r="A33">
        <v>0.40599995851516701</v>
      </c>
      <c r="B33">
        <v>5.7444877624511701</v>
      </c>
      <c r="C33">
        <f t="shared" si="0"/>
        <v>1.8083059165423585E-4</v>
      </c>
    </row>
    <row r="34" spans="1:3" x14ac:dyDescent="0.25">
      <c r="A34">
        <v>0.41999995708465498</v>
      </c>
      <c r="B34">
        <v>5.7417960166931099</v>
      </c>
      <c r="C34">
        <f t="shared" si="0"/>
        <v>1.8198022604928773E-4</v>
      </c>
    </row>
    <row r="35" spans="1:3" x14ac:dyDescent="0.25">
      <c r="A35">
        <v>0.43399995565414401</v>
      </c>
      <c r="B35">
        <v>5.7417392730712802</v>
      </c>
      <c r="C35">
        <f t="shared" si="0"/>
        <v>1.8202937858359961E-4</v>
      </c>
    </row>
    <row r="36" spans="1:3" x14ac:dyDescent="0.25">
      <c r="A36">
        <v>0.44799995422363198</v>
      </c>
      <c r="B36">
        <v>5.7417063713073704</v>
      </c>
      <c r="C36">
        <f t="shared" si="0"/>
        <v>1.8206854539959188E-4</v>
      </c>
    </row>
    <row r="37" spans="1:3" x14ac:dyDescent="0.25">
      <c r="A37">
        <v>0.461999952793121</v>
      </c>
      <c r="B37">
        <v>5.7416610717773402</v>
      </c>
      <c r="C37">
        <f t="shared" si="0"/>
        <v>1.8211291579254733E-4</v>
      </c>
    </row>
    <row r="38" spans="1:3" x14ac:dyDescent="0.25">
      <c r="A38">
        <v>0.47599995136260898</v>
      </c>
      <c r="B38">
        <v>5.7372927665710396</v>
      </c>
      <c r="C38">
        <f t="shared" si="0"/>
        <v>1.8397955771122157E-4</v>
      </c>
    </row>
    <row r="39" spans="1:3" x14ac:dyDescent="0.25">
      <c r="A39">
        <v>0.489999949932098</v>
      </c>
      <c r="B39">
        <v>5.73850297927856</v>
      </c>
      <c r="C39">
        <f t="shared" si="0"/>
        <v>1.8349315444798209E-4</v>
      </c>
    </row>
    <row r="40" spans="1:3" x14ac:dyDescent="0.25">
      <c r="A40">
        <v>0.50399994850158603</v>
      </c>
      <c r="B40">
        <v>5.7363414764404297</v>
      </c>
      <c r="C40">
        <f t="shared" si="0"/>
        <v>1.8443437574293791E-4</v>
      </c>
    </row>
    <row r="41" spans="1:3" x14ac:dyDescent="0.25">
      <c r="A41">
        <v>0.517999947071075</v>
      </c>
      <c r="B41">
        <v>5.7373328208923304</v>
      </c>
      <c r="C41">
        <f t="shared" si="0"/>
        <v>1.8403948858258055E-4</v>
      </c>
    </row>
    <row r="42" spans="1:3" x14ac:dyDescent="0.25">
      <c r="A42">
        <v>0.53199994564056396</v>
      </c>
      <c r="B42">
        <v>5.7363624572753897</v>
      </c>
      <c r="C42">
        <f t="shared" si="0"/>
        <v>1.8447684607350915E-4</v>
      </c>
    </row>
    <row r="43" spans="1:3" x14ac:dyDescent="0.25">
      <c r="A43">
        <v>0.54599994421005205</v>
      </c>
      <c r="B43">
        <v>5.7369050979614196</v>
      </c>
      <c r="C43">
        <f t="shared" si="0"/>
        <v>1.8427214856370797E-4</v>
      </c>
    </row>
    <row r="44" spans="1:3" x14ac:dyDescent="0.25">
      <c r="A44">
        <v>0.55999994277954102</v>
      </c>
      <c r="B44">
        <v>5.7353110313415501</v>
      </c>
      <c r="C44">
        <f t="shared" si="0"/>
        <v>1.8497550986843286E-4</v>
      </c>
    </row>
    <row r="45" spans="1:3" x14ac:dyDescent="0.25">
      <c r="A45">
        <v>0.57399994134902899</v>
      </c>
      <c r="B45">
        <v>5.7369441986083896</v>
      </c>
      <c r="C45">
        <f t="shared" si="0"/>
        <v>1.8430687020702614E-4</v>
      </c>
    </row>
    <row r="46" spans="1:3" x14ac:dyDescent="0.25">
      <c r="A46">
        <v>0.58799993991851796</v>
      </c>
      <c r="B46">
        <v>5.7326397895812899</v>
      </c>
      <c r="C46">
        <f t="shared" si="0"/>
        <v>1.8616857875483153E-4</v>
      </c>
    </row>
    <row r="47" spans="1:3" x14ac:dyDescent="0.25">
      <c r="A47">
        <v>0.60199993848800604</v>
      </c>
      <c r="B47">
        <v>5.7333421707153303</v>
      </c>
      <c r="C47">
        <f t="shared" si="0"/>
        <v>1.8589360245191709E-4</v>
      </c>
    </row>
    <row r="48" spans="1:3" x14ac:dyDescent="0.25">
      <c r="A48">
        <v>0.61599993705749501</v>
      </c>
      <c r="B48">
        <v>5.7329730987548801</v>
      </c>
      <c r="C48">
        <f t="shared" si="0"/>
        <v>1.8607753698407359E-4</v>
      </c>
    </row>
    <row r="49" spans="1:3" x14ac:dyDescent="0.25">
      <c r="A49">
        <v>0.62999993562698298</v>
      </c>
      <c r="B49">
        <v>5.7350354194641104</v>
      </c>
      <c r="C49">
        <f t="shared" si="0"/>
        <v>1.8522177976470756E-4</v>
      </c>
    </row>
    <row r="50" spans="1:3" x14ac:dyDescent="0.25">
      <c r="A50">
        <v>0.64399993419647195</v>
      </c>
      <c r="B50">
        <v>5.7344245910644496</v>
      </c>
      <c r="C50">
        <f t="shared" si="0"/>
        <v>1.855082795635582E-4</v>
      </c>
    </row>
    <row r="51" spans="1:3" x14ac:dyDescent="0.25">
      <c r="A51">
        <v>0.65799993276596003</v>
      </c>
      <c r="B51">
        <v>5.72987508773803</v>
      </c>
      <c r="C51">
        <f t="shared" si="0"/>
        <v>1.8748788459662497E-4</v>
      </c>
    </row>
    <row r="52" spans="1:3" x14ac:dyDescent="0.25">
      <c r="A52">
        <v>0.671999931335449</v>
      </c>
      <c r="B52">
        <v>5.7299947738647399</v>
      </c>
      <c r="C52">
        <f t="shared" si="0"/>
        <v>1.8746229193089146E-4</v>
      </c>
    </row>
    <row r="53" spans="1:3" x14ac:dyDescent="0.25">
      <c r="A53">
        <v>0.68599992990493697</v>
      </c>
      <c r="B53">
        <v>5.72999811172485</v>
      </c>
      <c r="C53">
        <f t="shared" si="0"/>
        <v>1.8748692048678822E-4</v>
      </c>
    </row>
    <row r="54" spans="1:3" x14ac:dyDescent="0.25">
      <c r="A54">
        <v>0.69999992847442605</v>
      </c>
      <c r="B54">
        <v>5.7313632965087802</v>
      </c>
      <c r="C54">
        <f t="shared" si="0"/>
        <v>1.8692447680105875E-4</v>
      </c>
    </row>
    <row r="55" spans="1:3" x14ac:dyDescent="0.25">
      <c r="A55">
        <v>0.71399992704391402</v>
      </c>
      <c r="B55">
        <v>5.7255358695983798</v>
      </c>
      <c r="C55">
        <f t="shared" si="0"/>
        <v>1.8947589843106914E-4</v>
      </c>
    </row>
    <row r="56" spans="1:3" x14ac:dyDescent="0.25">
      <c r="A56">
        <v>0.72799992561340299</v>
      </c>
      <c r="B56">
        <v>5.7279763221740696</v>
      </c>
      <c r="C56">
        <f t="shared" si="0"/>
        <v>1.8844034402249672E-4</v>
      </c>
    </row>
    <row r="57" spans="1:3" x14ac:dyDescent="0.25">
      <c r="A57">
        <v>0.74199992418289096</v>
      </c>
      <c r="B57">
        <v>5.7285180091857901</v>
      </c>
      <c r="C57">
        <f t="shared" si="0"/>
        <v>1.8823161091387886E-4</v>
      </c>
    </row>
    <row r="58" spans="1:3" x14ac:dyDescent="0.25">
      <c r="A58">
        <v>0.75599992275238004</v>
      </c>
      <c r="B58">
        <v>5.7280459403991699</v>
      </c>
      <c r="C58">
        <f t="shared" si="0"/>
        <v>1.8846251265484376E-4</v>
      </c>
    </row>
    <row r="59" spans="1:3" x14ac:dyDescent="0.25">
      <c r="A59">
        <v>0.76999992132186801</v>
      </c>
      <c r="B59">
        <v>5.7289919853210396</v>
      </c>
      <c r="C59">
        <f t="shared" si="0"/>
        <v>1.8807855215847514E-4</v>
      </c>
    </row>
    <row r="60" spans="1:3" x14ac:dyDescent="0.25">
      <c r="A60">
        <v>0.78399991989135698</v>
      </c>
      <c r="B60">
        <v>5.7273826599120996</v>
      </c>
      <c r="C60">
        <f t="shared" si="0"/>
        <v>1.8880301737877656E-4</v>
      </c>
    </row>
    <row r="61" spans="1:3" x14ac:dyDescent="0.25">
      <c r="A61">
        <v>0.79799991846084595</v>
      </c>
      <c r="B61">
        <v>5.7286224365234304</v>
      </c>
      <c r="C61">
        <f t="shared" si="0"/>
        <v>1.882909636871626E-4</v>
      </c>
    </row>
    <row r="62" spans="1:3" x14ac:dyDescent="0.25">
      <c r="A62">
        <v>0.81199991703033403</v>
      </c>
      <c r="B62">
        <v>5.7269530296325604</v>
      </c>
      <c r="C62">
        <f t="shared" si="0"/>
        <v>1.8904239063845306E-4</v>
      </c>
    </row>
    <row r="63" spans="1:3" x14ac:dyDescent="0.25">
      <c r="A63">
        <v>0.825999915599823</v>
      </c>
      <c r="B63">
        <v>5.7292580604553196</v>
      </c>
      <c r="C63">
        <f t="shared" si="0"/>
        <v>1.8806781428913415E-4</v>
      </c>
    </row>
    <row r="64" spans="1:3" x14ac:dyDescent="0.25">
      <c r="A64">
        <v>0.83999991416931097</v>
      </c>
      <c r="B64">
        <v>5.7273654937744096</v>
      </c>
      <c r="C64">
        <f t="shared" si="0"/>
        <v>1.8891539160057313E-4</v>
      </c>
    </row>
    <row r="65" spans="1:3" x14ac:dyDescent="0.25">
      <c r="A65">
        <v>0.85399991273880005</v>
      </c>
      <c r="B65">
        <v>5.7267751693725497</v>
      </c>
      <c r="C65">
        <f t="shared" si="0"/>
        <v>1.891986171488568E-4</v>
      </c>
    </row>
    <row r="66" spans="1:3" x14ac:dyDescent="0.25">
      <c r="A66">
        <v>0.86799991130828802</v>
      </c>
      <c r="B66">
        <v>5.7235846519470197</v>
      </c>
      <c r="C66">
        <f t="shared" si="0"/>
        <v>1.9062012826485185E-4</v>
      </c>
    </row>
    <row r="67" spans="1:3" x14ac:dyDescent="0.25">
      <c r="A67">
        <v>0.88199990987777699</v>
      </c>
      <c r="B67">
        <v>5.7283024787902797</v>
      </c>
      <c r="C67">
        <f t="shared" si="0"/>
        <v>1.8858676226163188E-4</v>
      </c>
    </row>
    <row r="68" spans="1:3" x14ac:dyDescent="0.25">
      <c r="A68">
        <v>0.89599990844726496</v>
      </c>
      <c r="B68">
        <v>5.7257966995239196</v>
      </c>
      <c r="C68">
        <f t="shared" si="0"/>
        <v>1.8970433234982996E-4</v>
      </c>
    </row>
    <row r="69" spans="1:3" x14ac:dyDescent="0.25">
      <c r="A69">
        <v>0.90999990701675404</v>
      </c>
      <c r="B69">
        <v>5.7251653671264604</v>
      </c>
      <c r="C69">
        <f t="shared" ref="C69:C130" si="1">(10^-B69)*(100+A69)</f>
        <v>1.900066664735949E-4</v>
      </c>
    </row>
    <row r="70" spans="1:3" x14ac:dyDescent="0.25">
      <c r="A70">
        <v>0.92399990558624201</v>
      </c>
      <c r="B70">
        <v>5.7249722480773899</v>
      </c>
      <c r="C70">
        <f t="shared" si="1"/>
        <v>1.9011754887421277E-4</v>
      </c>
    </row>
    <row r="71" spans="1:3" x14ac:dyDescent="0.25">
      <c r="A71">
        <v>0.93799990415573098</v>
      </c>
      <c r="B71">
        <v>5.7263369560241699</v>
      </c>
      <c r="C71">
        <f t="shared" si="1"/>
        <v>1.8954735951397497E-4</v>
      </c>
    </row>
    <row r="72" spans="1:3" x14ac:dyDescent="0.25">
      <c r="A72">
        <v>0.95199990272521895</v>
      </c>
      <c r="B72">
        <v>5.7253603935241699</v>
      </c>
      <c r="C72">
        <f t="shared" si="1"/>
        <v>1.9000040793871133E-4</v>
      </c>
    </row>
    <row r="73" spans="1:3" x14ac:dyDescent="0.25">
      <c r="A73">
        <v>0.96599990129470803</v>
      </c>
      <c r="B73">
        <v>5.7236576080322203</v>
      </c>
      <c r="C73">
        <f t="shared" si="1"/>
        <v>1.9077327819816536E-4</v>
      </c>
    </row>
    <row r="74" spans="1:3" x14ac:dyDescent="0.25">
      <c r="A74">
        <v>0.979999899864196</v>
      </c>
      <c r="B74">
        <v>5.72617483139038</v>
      </c>
      <c r="C74">
        <f t="shared" si="1"/>
        <v>1.8969703137477865E-4</v>
      </c>
    </row>
    <row r="75" spans="1:3" x14ac:dyDescent="0.25">
      <c r="A75">
        <v>0.99399989843368497</v>
      </c>
      <c r="B75">
        <v>5.7260899543762198</v>
      </c>
      <c r="C75">
        <f t="shared" si="1"/>
        <v>1.8976041371438117E-4</v>
      </c>
    </row>
    <row r="76" spans="1:3" x14ac:dyDescent="0.25">
      <c r="A76">
        <v>1.0079998970031701</v>
      </c>
      <c r="B76">
        <v>5.7252740859985298</v>
      </c>
      <c r="C76">
        <f t="shared" si="1"/>
        <v>1.9014358833951964E-4</v>
      </c>
    </row>
    <row r="77" spans="1:3" x14ac:dyDescent="0.25">
      <c r="A77">
        <v>1.02199983596801</v>
      </c>
      <c r="B77">
        <v>5.7246570587158203</v>
      </c>
      <c r="C77">
        <f t="shared" si="1"/>
        <v>1.9044032013291036E-4</v>
      </c>
    </row>
    <row r="78" spans="1:3" x14ac:dyDescent="0.25">
      <c r="A78">
        <v>1.03599989414215</v>
      </c>
      <c r="B78">
        <v>5.7255501747131303</v>
      </c>
      <c r="C78">
        <f t="shared" si="1"/>
        <v>1.9007542449399654E-4</v>
      </c>
    </row>
    <row r="79" spans="1:3" x14ac:dyDescent="0.25">
      <c r="A79">
        <v>1.04999995231628</v>
      </c>
      <c r="B79">
        <v>5.7266564369201598</v>
      </c>
      <c r="C79">
        <f t="shared" si="1"/>
        <v>1.896181393631539E-4</v>
      </c>
    </row>
    <row r="80" spans="1:3" x14ac:dyDescent="0.25">
      <c r="A80">
        <v>1.0639998912811199</v>
      </c>
      <c r="B80">
        <v>5.7229409217834402</v>
      </c>
      <c r="C80">
        <f t="shared" si="1"/>
        <v>1.9127383298011858E-4</v>
      </c>
    </row>
    <row r="81" spans="1:3" x14ac:dyDescent="0.25">
      <c r="A81">
        <v>1.0779998302459699</v>
      </c>
      <c r="B81">
        <v>5.7263035774230904</v>
      </c>
      <c r="C81">
        <f t="shared" si="1"/>
        <v>1.8982484849484779E-4</v>
      </c>
    </row>
    <row r="82" spans="1:3" x14ac:dyDescent="0.25">
      <c r="A82">
        <v>1.0919998884201001</v>
      </c>
      <c r="B82">
        <v>5.7240548133850098</v>
      </c>
      <c r="C82">
        <f t="shared" si="1"/>
        <v>1.908367337540841E-4</v>
      </c>
    </row>
    <row r="83" spans="1:3" x14ac:dyDescent="0.25">
      <c r="A83">
        <v>1.1059999465942301</v>
      </c>
      <c r="B83">
        <v>5.7255887985229403</v>
      </c>
      <c r="C83">
        <f t="shared" si="1"/>
        <v>1.9019019785406312E-4</v>
      </c>
    </row>
    <row r="84" spans="1:3" x14ac:dyDescent="0.25">
      <c r="A84">
        <v>1.11999988555908</v>
      </c>
      <c r="B84">
        <v>5.7254161834716797</v>
      </c>
      <c r="C84">
        <f t="shared" si="1"/>
        <v>1.9029215174838925E-4</v>
      </c>
    </row>
    <row r="85" spans="1:3" x14ac:dyDescent="0.25">
      <c r="A85">
        <v>1.13399982452392</v>
      </c>
      <c r="B85">
        <v>5.7262430191040004</v>
      </c>
      <c r="C85">
        <f t="shared" si="1"/>
        <v>1.8995650250398574E-4</v>
      </c>
    </row>
    <row r="86" spans="1:3" x14ac:dyDescent="0.25">
      <c r="A86">
        <v>1.14799988269805</v>
      </c>
      <c r="B86">
        <v>5.7262721061706499</v>
      </c>
      <c r="C86">
        <f t="shared" si="1"/>
        <v>1.8997007457364993E-4</v>
      </c>
    </row>
    <row r="87" spans="1:3" x14ac:dyDescent="0.25">
      <c r="A87">
        <v>1.1619999408721899</v>
      </c>
      <c r="B87">
        <v>5.7254085540771396</v>
      </c>
      <c r="C87">
        <f t="shared" si="1"/>
        <v>1.903745336793909E-4</v>
      </c>
    </row>
    <row r="88" spans="1:3" x14ac:dyDescent="0.25">
      <c r="A88">
        <v>1.1759998798370299</v>
      </c>
      <c r="B88">
        <v>5.7221221923828098</v>
      </c>
      <c r="C88">
        <f t="shared" si="1"/>
        <v>1.9184713266782845E-4</v>
      </c>
    </row>
    <row r="89" spans="1:3" x14ac:dyDescent="0.25">
      <c r="A89">
        <v>1.1899998188018699</v>
      </c>
      <c r="B89">
        <v>4.8476715087890598</v>
      </c>
      <c r="C89">
        <f t="shared" si="1"/>
        <v>1.4370308325547755E-3</v>
      </c>
    </row>
    <row r="90" spans="1:3" x14ac:dyDescent="0.25">
      <c r="A90">
        <v>1.2039998769760101</v>
      </c>
      <c r="B90">
        <v>4.5231423377990696</v>
      </c>
      <c r="C90">
        <f t="shared" si="1"/>
        <v>3.0342777999858316E-3</v>
      </c>
    </row>
    <row r="91" spans="1:3" x14ac:dyDescent="0.25">
      <c r="A91">
        <v>1.21799993515014</v>
      </c>
      <c r="B91">
        <v>4.3399329185485804</v>
      </c>
      <c r="C91">
        <f t="shared" si="1"/>
        <v>4.6272699110646515E-3</v>
      </c>
    </row>
    <row r="92" spans="1:3" x14ac:dyDescent="0.25">
      <c r="A92">
        <v>1.23199987411499</v>
      </c>
      <c r="B92">
        <v>4.2051205635070801</v>
      </c>
      <c r="C92">
        <f t="shared" si="1"/>
        <v>6.3124398533190946E-3</v>
      </c>
    </row>
    <row r="93" spans="1:3" x14ac:dyDescent="0.25">
      <c r="A93">
        <v>1.24599981307983</v>
      </c>
      <c r="B93">
        <v>4.1008968353271396</v>
      </c>
      <c r="C93">
        <f t="shared" si="1"/>
        <v>8.025665189503095E-3</v>
      </c>
    </row>
    <row r="94" spans="1:3" x14ac:dyDescent="0.25">
      <c r="A94">
        <v>1.25999987125396</v>
      </c>
      <c r="B94">
        <v>4.0199532508850098</v>
      </c>
      <c r="C94">
        <f t="shared" si="1"/>
        <v>9.6712959129191742E-3</v>
      </c>
    </row>
    <row r="95" spans="1:3" x14ac:dyDescent="0.25">
      <c r="A95">
        <v>1.2739999294280999</v>
      </c>
      <c r="B95">
        <v>3.9514794349670401</v>
      </c>
      <c r="C95">
        <f t="shared" si="1"/>
        <v>1.1324486758365259E-2</v>
      </c>
    </row>
    <row r="96" spans="1:3" x14ac:dyDescent="0.25">
      <c r="A96">
        <v>1.2879998683929399</v>
      </c>
      <c r="B96">
        <v>3.8915171623229901</v>
      </c>
      <c r="C96">
        <f t="shared" si="1"/>
        <v>1.3002918272971163E-2</v>
      </c>
    </row>
    <row r="97" spans="1:3" x14ac:dyDescent="0.25">
      <c r="A97">
        <v>1.3019998073577801</v>
      </c>
      <c r="B97">
        <v>3.8401000499725302</v>
      </c>
      <c r="C97">
        <f t="shared" si="1"/>
        <v>1.4639221059573888E-2</v>
      </c>
    </row>
    <row r="98" spans="1:3" x14ac:dyDescent="0.25">
      <c r="A98">
        <v>1.3159998655319201</v>
      </c>
      <c r="B98">
        <v>3.79481768608093</v>
      </c>
      <c r="C98">
        <f t="shared" si="1"/>
        <v>1.6250261298110309E-2</v>
      </c>
    </row>
    <row r="99" spans="1:3" x14ac:dyDescent="0.25">
      <c r="A99">
        <v>1.32999992370605</v>
      </c>
      <c r="B99">
        <v>3.754150390625</v>
      </c>
      <c r="C99">
        <f t="shared" si="1"/>
        <v>1.7847921687579597E-2</v>
      </c>
    </row>
    <row r="100" spans="1:3" x14ac:dyDescent="0.25">
      <c r="A100">
        <v>1.34399986267089</v>
      </c>
      <c r="B100">
        <v>3.7155160903930602</v>
      </c>
      <c r="C100">
        <f t="shared" si="1"/>
        <v>1.9511108800993965E-2</v>
      </c>
    </row>
    <row r="101" spans="1:3" x14ac:dyDescent="0.25">
      <c r="A101">
        <v>1.35799980163574</v>
      </c>
      <c r="B101">
        <v>3.6812489032745299</v>
      </c>
      <c r="C101">
        <f t="shared" si="1"/>
        <v>2.1115877230913706E-2</v>
      </c>
    </row>
    <row r="102" spans="1:3" x14ac:dyDescent="0.25">
      <c r="A102">
        <v>1.3719998598098699</v>
      </c>
      <c r="B102">
        <v>3.6490218639373699</v>
      </c>
      <c r="C102">
        <f t="shared" si="1"/>
        <v>2.2745534685929079E-2</v>
      </c>
    </row>
    <row r="103" spans="1:3" x14ac:dyDescent="0.25">
      <c r="A103">
        <v>1.3859999179839999</v>
      </c>
      <c r="B103">
        <v>3.6198425292968701</v>
      </c>
      <c r="C103">
        <f t="shared" si="1"/>
        <v>2.4329627486142147E-2</v>
      </c>
    </row>
    <row r="104" spans="1:3" x14ac:dyDescent="0.25">
      <c r="A104">
        <v>1.3999998569488501</v>
      </c>
      <c r="B104">
        <v>3.5918281078338601</v>
      </c>
      <c r="C104">
        <f t="shared" si="1"/>
        <v>2.5954331453335665E-2</v>
      </c>
    </row>
    <row r="105" spans="1:3" x14ac:dyDescent="0.25">
      <c r="A105">
        <v>1.4139997959136901</v>
      </c>
      <c r="B105">
        <v>3.56559038162231</v>
      </c>
      <c r="C105">
        <f t="shared" si="1"/>
        <v>2.7574492626640232E-2</v>
      </c>
    </row>
    <row r="106" spans="1:3" x14ac:dyDescent="0.25">
      <c r="A106">
        <v>1.42799985408782</v>
      </c>
      <c r="B106">
        <v>3.5420396327972399</v>
      </c>
      <c r="C106">
        <f t="shared" si="1"/>
        <v>2.9115096142046572E-2</v>
      </c>
    </row>
    <row r="107" spans="1:3" x14ac:dyDescent="0.25">
      <c r="A107">
        <v>1.44199991226196</v>
      </c>
      <c r="B107">
        <v>3.5205814838409402</v>
      </c>
      <c r="C107">
        <f t="shared" si="1"/>
        <v>3.0594003978322619E-2</v>
      </c>
    </row>
    <row r="108" spans="1:3" x14ac:dyDescent="0.25">
      <c r="A108">
        <v>1.4559998512268</v>
      </c>
      <c r="B108">
        <v>3.4980783462524401</v>
      </c>
      <c r="C108">
        <f t="shared" si="1"/>
        <v>3.2225479558038249E-2</v>
      </c>
    </row>
    <row r="109" spans="1:3" x14ac:dyDescent="0.25">
      <c r="A109">
        <v>1.4699997901916499</v>
      </c>
      <c r="B109">
        <v>3.4776842594146702</v>
      </c>
      <c r="C109">
        <f t="shared" si="1"/>
        <v>3.377951424565788E-2</v>
      </c>
    </row>
    <row r="110" spans="1:3" x14ac:dyDescent="0.25">
      <c r="A110">
        <v>1.4839998483657799</v>
      </c>
      <c r="B110">
        <v>3.4567387104034402</v>
      </c>
      <c r="C110">
        <f t="shared" si="1"/>
        <v>3.5453479593487151E-2</v>
      </c>
    </row>
    <row r="111" spans="1:3" x14ac:dyDescent="0.25">
      <c r="A111">
        <v>1.4979999065399101</v>
      </c>
      <c r="B111">
        <v>3.4395771026611301</v>
      </c>
      <c r="C111">
        <f t="shared" si="1"/>
        <v>3.68875984475317E-2</v>
      </c>
    </row>
    <row r="112" spans="1:3" x14ac:dyDescent="0.25">
      <c r="A112">
        <v>1.5119998455047601</v>
      </c>
      <c r="B112">
        <v>3.4222490787506099</v>
      </c>
      <c r="C112">
        <f t="shared" si="1"/>
        <v>3.8394437115324462E-2</v>
      </c>
    </row>
    <row r="113" spans="1:3" x14ac:dyDescent="0.25">
      <c r="A113">
        <v>1.5259997844696001</v>
      </c>
      <c r="B113">
        <v>3.4051842689514098</v>
      </c>
      <c r="C113">
        <f t="shared" si="1"/>
        <v>3.993861552789043E-2</v>
      </c>
    </row>
    <row r="114" spans="1:3" x14ac:dyDescent="0.25">
      <c r="A114">
        <v>1.53999984264373</v>
      </c>
      <c r="B114">
        <v>3.3872094154357901</v>
      </c>
      <c r="C114">
        <f t="shared" si="1"/>
        <v>4.1632044870580226E-2</v>
      </c>
    </row>
    <row r="115" spans="1:3" x14ac:dyDescent="0.25">
      <c r="A115">
        <v>1.55399990081787</v>
      </c>
      <c r="B115">
        <v>3.37252449989318</v>
      </c>
      <c r="C115">
        <f t="shared" si="1"/>
        <v>4.3069768130789922E-2</v>
      </c>
    </row>
    <row r="116" spans="1:3" x14ac:dyDescent="0.25">
      <c r="A116">
        <v>1.56799983978271</v>
      </c>
      <c r="B116">
        <v>3.3562695980071999</v>
      </c>
      <c r="C116">
        <f t="shared" si="1"/>
        <v>4.4718507674732913E-2</v>
      </c>
    </row>
    <row r="117" spans="1:3" x14ac:dyDescent="0.25">
      <c r="A117">
        <v>1.5819997787475499</v>
      </c>
      <c r="B117">
        <v>3.34195876121521</v>
      </c>
      <c r="C117">
        <f t="shared" si="1"/>
        <v>4.622298595823799E-2</v>
      </c>
    </row>
    <row r="118" spans="1:3" x14ac:dyDescent="0.25">
      <c r="A118">
        <v>1.5959998369216899</v>
      </c>
      <c r="B118">
        <v>3.3277504444122301</v>
      </c>
      <c r="C118">
        <f t="shared" si="1"/>
        <v>4.7766801798455091E-2</v>
      </c>
    </row>
    <row r="119" spans="1:3" x14ac:dyDescent="0.25">
      <c r="A119">
        <v>1.6099998950958201</v>
      </c>
      <c r="B119">
        <v>3.3152303695678702</v>
      </c>
      <c r="C119">
        <f t="shared" si="1"/>
        <v>4.9170664941004139E-2</v>
      </c>
    </row>
    <row r="120" spans="1:3" x14ac:dyDescent="0.25">
      <c r="A120">
        <v>1.6239998340606601</v>
      </c>
      <c r="B120">
        <v>3.3021676540374698</v>
      </c>
      <c r="C120">
        <f t="shared" si="1"/>
        <v>5.0679069263438112E-2</v>
      </c>
    </row>
    <row r="121" spans="1:3" x14ac:dyDescent="0.25">
      <c r="A121">
        <v>1.63799977302551</v>
      </c>
      <c r="B121">
        <v>3.2894008159637398</v>
      </c>
      <c r="C121">
        <f t="shared" si="1"/>
        <v>5.2198171941331931E-2</v>
      </c>
    </row>
    <row r="122" spans="1:3" x14ac:dyDescent="0.25">
      <c r="A122">
        <v>1.65199983119964</v>
      </c>
      <c r="B122">
        <v>3.27658915519714</v>
      </c>
      <c r="C122">
        <f t="shared" si="1"/>
        <v>5.3768357734126797E-2</v>
      </c>
    </row>
    <row r="123" spans="1:3" x14ac:dyDescent="0.25">
      <c r="A123">
        <v>1.66599988937377</v>
      </c>
      <c r="B123">
        <v>3.2645919322967498</v>
      </c>
      <c r="C123">
        <f t="shared" si="1"/>
        <v>5.5282007306324259E-2</v>
      </c>
    </row>
    <row r="124" spans="1:3" x14ac:dyDescent="0.25">
      <c r="A124">
        <v>1.6799998283386199</v>
      </c>
      <c r="B124">
        <v>3.2531921863555899</v>
      </c>
      <c r="C124">
        <f t="shared" si="1"/>
        <v>5.6760125946955786E-2</v>
      </c>
    </row>
    <row r="125" spans="1:3" x14ac:dyDescent="0.25">
      <c r="A125">
        <v>1.6939997673034599</v>
      </c>
      <c r="B125">
        <v>3.2411441802978498</v>
      </c>
      <c r="C125">
        <f t="shared" si="1"/>
        <v>5.8364819772370929E-2</v>
      </c>
    </row>
    <row r="126" spans="1:3" x14ac:dyDescent="0.25">
      <c r="A126">
        <v>1.7079998254776001</v>
      </c>
      <c r="B126">
        <v>3.2306756973266602</v>
      </c>
      <c r="C126">
        <f t="shared" si="1"/>
        <v>5.9797002781990544E-2</v>
      </c>
    </row>
    <row r="127" spans="1:3" x14ac:dyDescent="0.25">
      <c r="A127">
        <v>1.7219998836517301</v>
      </c>
      <c r="B127">
        <v>3.22080278396606</v>
      </c>
      <c r="C127">
        <f t="shared" si="1"/>
        <v>6.1180370963546331E-2</v>
      </c>
    </row>
    <row r="128" spans="1:3" x14ac:dyDescent="0.25">
      <c r="A128">
        <v>1.73599982261657</v>
      </c>
      <c r="B128">
        <v>3.2109067440032901</v>
      </c>
      <c r="C128">
        <f t="shared" si="1"/>
        <v>6.2599074660834308E-2</v>
      </c>
    </row>
    <row r="129" spans="1:3" x14ac:dyDescent="0.25">
      <c r="A129">
        <v>1.74999976158142</v>
      </c>
      <c r="B129">
        <v>3.2000775337219198</v>
      </c>
      <c r="C129">
        <f t="shared" si="1"/>
        <v>6.4188449192488853E-2</v>
      </c>
    </row>
    <row r="130" spans="1:3" x14ac:dyDescent="0.25">
      <c r="A130">
        <v>1.76399981975555</v>
      </c>
      <c r="B130">
        <v>3.1885969638824401</v>
      </c>
      <c r="C130">
        <f t="shared" si="1"/>
        <v>6.5916965245115505E-2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39"/>
  <sheetViews>
    <sheetView topLeftCell="A12" workbookViewId="0">
      <selection activeCell="B4" sqref="B4"/>
    </sheetView>
  </sheetViews>
  <sheetFormatPr defaultRowHeight="15" x14ac:dyDescent="0.25"/>
  <sheetData>
    <row r="1" spans="1:15" x14ac:dyDescent="0.25">
      <c r="A1" t="str">
        <f ca="1">MID(CELL("filename",A1),FIND("]",CELL("filename",A1))+1,3)</f>
        <v>CCV</v>
      </c>
      <c r="C1" t="str">
        <f ca="1">A1</f>
        <v>CCV</v>
      </c>
    </row>
    <row r="2" spans="1:15" x14ac:dyDescent="0.25">
      <c r="A2">
        <v>100</v>
      </c>
    </row>
    <row r="3" spans="1:15" x14ac:dyDescent="0.25">
      <c r="A3" t="s">
        <v>0</v>
      </c>
    </row>
    <row r="4" spans="1:15" x14ac:dyDescent="0.25">
      <c r="A4">
        <v>0</v>
      </c>
      <c r="B4">
        <v>3.8609943389892498</v>
      </c>
      <c r="C4">
        <f>(10^-B4)*(100+A4)</f>
        <v>1.3772274208798592E-2</v>
      </c>
      <c r="E4" t="s">
        <v>4</v>
      </c>
    </row>
    <row r="5" spans="1:15" ht="15.75" thickBot="1" x14ac:dyDescent="0.3">
      <c r="A5">
        <v>1.3999998569488499E-2</v>
      </c>
      <c r="B5">
        <v>3.8208646774291899</v>
      </c>
      <c r="C5">
        <f t="shared" ref="C5:C39" si="0">(10^-B5)*(100+A5)</f>
        <v>1.5107622330565411E-2</v>
      </c>
    </row>
    <row r="6" spans="1:15" x14ac:dyDescent="0.25">
      <c r="A6">
        <v>2.7999997138976999E-2</v>
      </c>
      <c r="B6">
        <v>3.7788486480712802</v>
      </c>
      <c r="C6">
        <f t="shared" si="0"/>
        <v>1.6644583696983274E-2</v>
      </c>
      <c r="E6" s="3" t="s">
        <v>5</v>
      </c>
      <c r="F6" s="3"/>
    </row>
    <row r="7" spans="1:15" x14ac:dyDescent="0.25">
      <c r="A7">
        <v>4.19999957084655E-2</v>
      </c>
      <c r="B7">
        <v>3.7402248382568302</v>
      </c>
      <c r="C7">
        <f t="shared" si="0"/>
        <v>1.8195229052322435E-2</v>
      </c>
      <c r="E7" t="s">
        <v>6</v>
      </c>
      <c r="F7">
        <v>0.99661572135340859</v>
      </c>
    </row>
    <row r="8" spans="1:15" x14ac:dyDescent="0.25">
      <c r="A8">
        <v>5.5999994277954102E-2</v>
      </c>
      <c r="B8">
        <v>3.70507359504699</v>
      </c>
      <c r="C8">
        <f t="shared" si="0"/>
        <v>1.9731928893873298E-2</v>
      </c>
      <c r="E8" t="s">
        <v>7</v>
      </c>
      <c r="F8">
        <v>0.99324289604877491</v>
      </c>
    </row>
    <row r="9" spans="1:15" x14ac:dyDescent="0.25">
      <c r="A9">
        <v>6.9999992847442599E-2</v>
      </c>
      <c r="B9">
        <v>3.6838803291320801</v>
      </c>
      <c r="C9">
        <f t="shared" si="0"/>
        <v>2.0721613578709663E-2</v>
      </c>
      <c r="E9" t="s">
        <v>8</v>
      </c>
      <c r="F9">
        <v>0.99304415769726828</v>
      </c>
      <c r="N9" t="s">
        <v>1</v>
      </c>
      <c r="O9">
        <v>3.8609943389892498</v>
      </c>
    </row>
    <row r="10" spans="1:15" x14ac:dyDescent="0.25">
      <c r="A10">
        <v>8.3999991416931097E-2</v>
      </c>
      <c r="B10">
        <v>3.6831676959991402</v>
      </c>
      <c r="C10">
        <f t="shared" si="0"/>
        <v>2.0758547311272517E-2</v>
      </c>
      <c r="E10" t="s">
        <v>9</v>
      </c>
      <c r="F10">
        <v>1.3095678683302241E-3</v>
      </c>
    </row>
    <row r="11" spans="1:15" ht="15.75" thickBot="1" x14ac:dyDescent="0.3">
      <c r="A11">
        <v>9.7999989986419594E-2</v>
      </c>
      <c r="B11">
        <v>3.6843283176422101</v>
      </c>
      <c r="C11">
        <f t="shared" si="0"/>
        <v>2.0706041613738645E-2</v>
      </c>
      <c r="E11" s="1" t="s">
        <v>10</v>
      </c>
      <c r="F11" s="1">
        <v>36</v>
      </c>
      <c r="N11" t="s">
        <v>2</v>
      </c>
      <c r="O11">
        <v>4</v>
      </c>
    </row>
    <row r="12" spans="1:15" x14ac:dyDescent="0.25">
      <c r="A12">
        <v>0.11199998855590799</v>
      </c>
      <c r="B12">
        <v>3.6043825149536102</v>
      </c>
      <c r="C12">
        <f t="shared" si="0"/>
        <v>2.4894512302991809E-2</v>
      </c>
      <c r="N12" t="s">
        <v>3</v>
      </c>
      <c r="O12">
        <v>39</v>
      </c>
    </row>
    <row r="13" spans="1:15" ht="15.75" thickBot="1" x14ac:dyDescent="0.3">
      <c r="A13">
        <v>0.12599998712539601</v>
      </c>
      <c r="B13">
        <v>3.60044264793396</v>
      </c>
      <c r="C13">
        <f t="shared" si="0"/>
        <v>2.5124892867625922E-2</v>
      </c>
      <c r="E13" t="s">
        <v>11</v>
      </c>
    </row>
    <row r="14" spans="1:15" x14ac:dyDescent="0.25">
      <c r="A14">
        <v>0.139999985694885</v>
      </c>
      <c r="B14">
        <v>3.6009061336517298</v>
      </c>
      <c r="C14">
        <f t="shared" si="0"/>
        <v>2.5101602811322989E-2</v>
      </c>
      <c r="E14" s="2"/>
      <c r="F14" s="2" t="s">
        <v>16</v>
      </c>
      <c r="G14" s="2" t="s">
        <v>17</v>
      </c>
      <c r="H14" s="2" t="s">
        <v>18</v>
      </c>
      <c r="I14" s="2" t="s">
        <v>19</v>
      </c>
      <c r="J14" s="2" t="s">
        <v>20</v>
      </c>
    </row>
    <row r="15" spans="1:15" x14ac:dyDescent="0.25">
      <c r="A15">
        <v>0.153999984264373</v>
      </c>
      <c r="B15">
        <v>3.5420122146606401</v>
      </c>
      <c r="C15">
        <f t="shared" si="0"/>
        <v>2.8751207189122677E-2</v>
      </c>
      <c r="E15" t="s">
        <v>12</v>
      </c>
      <c r="F15">
        <v>1</v>
      </c>
      <c r="G15">
        <v>8.5709666593732046E-3</v>
      </c>
      <c r="H15">
        <v>8.5709666593732046E-3</v>
      </c>
      <c r="I15">
        <v>4997.7414450662345</v>
      </c>
      <c r="J15">
        <v>1.739114419056272E-38</v>
      </c>
    </row>
    <row r="16" spans="1:15" x14ac:dyDescent="0.25">
      <c r="A16">
        <v>0.167999982833862</v>
      </c>
      <c r="B16">
        <v>3.5131735801696702</v>
      </c>
      <c r="C16">
        <f t="shared" si="0"/>
        <v>3.0729494933117055E-2</v>
      </c>
      <c r="E16" t="s">
        <v>13</v>
      </c>
      <c r="F16">
        <v>34</v>
      </c>
      <c r="G16">
        <v>5.8308912059940882E-5</v>
      </c>
      <c r="H16">
        <v>1.7149680017629672E-6</v>
      </c>
    </row>
    <row r="17" spans="1:11" ht="15.75" thickBot="1" x14ac:dyDescent="0.3">
      <c r="A17">
        <v>0.18199998140335</v>
      </c>
      <c r="B17">
        <v>3.5088262557983398</v>
      </c>
      <c r="C17">
        <f t="shared" si="0"/>
        <v>3.1042982614519207E-2</v>
      </c>
      <c r="E17" s="1" t="s">
        <v>14</v>
      </c>
      <c r="F17" s="1">
        <v>35</v>
      </c>
      <c r="G17" s="1">
        <v>8.6292755714331461E-3</v>
      </c>
      <c r="H17" s="1"/>
      <c r="I17" s="1"/>
      <c r="J17" s="1"/>
    </row>
    <row r="18" spans="1:11" ht="15.75" thickBot="1" x14ac:dyDescent="0.3">
      <c r="A18">
        <v>0.19599997997283899</v>
      </c>
      <c r="B18">
        <v>3.5088188648223801</v>
      </c>
      <c r="C18">
        <f t="shared" si="0"/>
        <v>3.1047849114960471E-2</v>
      </c>
    </row>
    <row r="19" spans="1:11" x14ac:dyDescent="0.25">
      <c r="A19">
        <v>0.20999997854232699</v>
      </c>
      <c r="B19">
        <v>3.5087223052978498</v>
      </c>
      <c r="C19">
        <f t="shared" si="0"/>
        <v>3.1059092113416471E-2</v>
      </c>
      <c r="E19" s="2"/>
      <c r="F19" s="2" t="s">
        <v>21</v>
      </c>
      <c r="G19" s="2" t="s">
        <v>9</v>
      </c>
      <c r="H19" s="2" t="s">
        <v>22</v>
      </c>
      <c r="I19" s="2" t="s">
        <v>23</v>
      </c>
      <c r="J19" s="2" t="s">
        <v>24</v>
      </c>
      <c r="K19" s="2" t="s">
        <v>25</v>
      </c>
    </row>
    <row r="20" spans="1:11" x14ac:dyDescent="0.25">
      <c r="A20">
        <v>0.22399997711181599</v>
      </c>
      <c r="B20">
        <v>3.44021391868591</v>
      </c>
      <c r="C20">
        <f t="shared" si="0"/>
        <v>3.6371215316811437E-2</v>
      </c>
      <c r="E20" t="s">
        <v>15</v>
      </c>
      <c r="F20">
        <v>1.2279629137290485E-2</v>
      </c>
      <c r="G20">
        <v>4.2758264593744061E-4</v>
      </c>
      <c r="H20">
        <v>28.718726669480198</v>
      </c>
      <c r="I20">
        <v>1.9978340880237966E-25</v>
      </c>
      <c r="J20">
        <v>1.1410676652804579E-2</v>
      </c>
      <c r="K20">
        <v>1.314858162177639E-2</v>
      </c>
    </row>
    <row r="21" spans="1:11" ht="15.75" thickBot="1" x14ac:dyDescent="0.3">
      <c r="A21">
        <v>0.23799997568130399</v>
      </c>
      <c r="B21">
        <v>3.4222660064697199</v>
      </c>
      <c r="C21">
        <f t="shared" si="0"/>
        <v>3.7911100040106213E-2</v>
      </c>
      <c r="E21" s="1" t="s">
        <v>26</v>
      </c>
      <c r="F21" s="1">
        <v>0.10609414078971095</v>
      </c>
      <c r="G21" s="1">
        <v>1.5007367158481504E-3</v>
      </c>
      <c r="H21" s="1">
        <v>70.694705919653074</v>
      </c>
      <c r="I21" s="1">
        <v>1.739114419056272E-38</v>
      </c>
      <c r="J21" s="1">
        <v>0.10304427683899704</v>
      </c>
      <c r="K21" s="1">
        <v>0.10914400474042486</v>
      </c>
    </row>
    <row r="22" spans="1:11" x14ac:dyDescent="0.25">
      <c r="A22">
        <v>0.25199997425079301</v>
      </c>
      <c r="B22">
        <v>3.4159686565399099</v>
      </c>
      <c r="C22">
        <f t="shared" si="0"/>
        <v>3.8470195096858777E-2</v>
      </c>
    </row>
    <row r="23" spans="1:11" x14ac:dyDescent="0.25">
      <c r="A23">
        <v>0.26599997282028198</v>
      </c>
      <c r="B23">
        <v>3.4159028530120801</v>
      </c>
      <c r="C23">
        <f t="shared" si="0"/>
        <v>3.8481397576705281E-2</v>
      </c>
      <c r="E23" s="4" t="s">
        <v>27</v>
      </c>
      <c r="F23">
        <f>+(-F20/F21)</f>
        <v>-0.11574276435896606</v>
      </c>
    </row>
    <row r="24" spans="1:11" x14ac:dyDescent="0.25">
      <c r="A24">
        <v>0.27999997138977001</v>
      </c>
      <c r="B24">
        <v>3.4160962104797301</v>
      </c>
      <c r="C24">
        <f t="shared" si="0"/>
        <v>3.846963933538633E-2</v>
      </c>
      <c r="E24" s="4" t="s">
        <v>28</v>
      </c>
      <c r="F24" s="5">
        <f>+(F23*0.1*1000000)/100</f>
        <v>-115.74276435896607</v>
      </c>
    </row>
    <row r="25" spans="1:11" x14ac:dyDescent="0.25">
      <c r="A25">
        <v>0.29399996995925898</v>
      </c>
      <c r="B25">
        <v>3.3638741970062198</v>
      </c>
      <c r="C25">
        <f t="shared" si="0"/>
        <v>4.339110953027342E-2</v>
      </c>
    </row>
    <row r="26" spans="1:11" x14ac:dyDescent="0.25">
      <c r="A26">
        <v>0.307999968528747</v>
      </c>
      <c r="B26">
        <v>3.3464908599853498</v>
      </c>
      <c r="C26">
        <f t="shared" si="0"/>
        <v>4.5169440503625251E-2</v>
      </c>
    </row>
    <row r="27" spans="1:11" x14ac:dyDescent="0.25">
      <c r="A27">
        <v>0.32199996709823597</v>
      </c>
      <c r="B27">
        <v>3.33231377601623</v>
      </c>
      <c r="C27">
        <f t="shared" si="0"/>
        <v>4.6674793523454133E-2</v>
      </c>
    </row>
    <row r="28" spans="1:11" x14ac:dyDescent="0.25">
      <c r="A28">
        <v>0.335999965667724</v>
      </c>
      <c r="B28">
        <v>3.31945347785949</v>
      </c>
      <c r="C28">
        <f t="shared" si="0"/>
        <v>4.8084300814065964E-2</v>
      </c>
    </row>
    <row r="29" spans="1:11" x14ac:dyDescent="0.25">
      <c r="A29">
        <v>0.34999996423721302</v>
      </c>
      <c r="B29">
        <v>3.3048057556152299</v>
      </c>
      <c r="C29">
        <f t="shared" si="0"/>
        <v>4.9740668876795124E-2</v>
      </c>
    </row>
    <row r="30" spans="1:11" x14ac:dyDescent="0.25">
      <c r="A30">
        <v>0.36399996280670099</v>
      </c>
      <c r="B30">
        <v>3.2915074825286799</v>
      </c>
      <c r="C30">
        <f t="shared" si="0"/>
        <v>5.1294461997444772E-2</v>
      </c>
    </row>
    <row r="31" spans="1:11" x14ac:dyDescent="0.25">
      <c r="A31">
        <v>0.37799996137619002</v>
      </c>
      <c r="B31">
        <v>3.2797167301177899</v>
      </c>
      <c r="C31">
        <f t="shared" si="0"/>
        <v>5.2713494549448847E-2</v>
      </c>
    </row>
    <row r="32" spans="1:11" x14ac:dyDescent="0.25">
      <c r="A32">
        <v>0.39199995994567799</v>
      </c>
      <c r="B32">
        <v>3.2659029960632302</v>
      </c>
      <c r="C32">
        <f t="shared" si="0"/>
        <v>5.4424708302960721E-2</v>
      </c>
    </row>
    <row r="33" spans="1:3" x14ac:dyDescent="0.25">
      <c r="A33">
        <v>0.40599995851516701</v>
      </c>
      <c r="B33">
        <v>3.2543518543243399</v>
      </c>
      <c r="C33">
        <f t="shared" si="0"/>
        <v>5.5899485594431086E-2</v>
      </c>
    </row>
    <row r="34" spans="1:3" x14ac:dyDescent="0.25">
      <c r="A34">
        <v>0.41999995708465498</v>
      </c>
      <c r="B34">
        <v>3.2427787780761701</v>
      </c>
      <c r="C34">
        <f t="shared" si="0"/>
        <v>5.7417124489472747E-2</v>
      </c>
    </row>
    <row r="35" spans="1:3" x14ac:dyDescent="0.25">
      <c r="A35">
        <v>0.43399995565414401</v>
      </c>
      <c r="B35">
        <v>3.2305955886840798</v>
      </c>
      <c r="C35">
        <f t="shared" si="0"/>
        <v>5.9058875128974148E-2</v>
      </c>
    </row>
    <row r="36" spans="1:3" x14ac:dyDescent="0.25">
      <c r="A36">
        <v>0.44799995422363198</v>
      </c>
      <c r="B36">
        <v>3.2200045585632302</v>
      </c>
      <c r="C36">
        <f t="shared" si="0"/>
        <v>6.0525269968809886E-2</v>
      </c>
    </row>
    <row r="37" spans="1:3" x14ac:dyDescent="0.25">
      <c r="A37">
        <v>0.461999952793121</v>
      </c>
      <c r="B37">
        <v>3.2104604244232098</v>
      </c>
      <c r="C37">
        <f t="shared" si="0"/>
        <v>6.1878730509435764E-2</v>
      </c>
    </row>
    <row r="38" spans="1:3" x14ac:dyDescent="0.25">
      <c r="A38">
        <v>0.47599995136260898</v>
      </c>
      <c r="B38">
        <v>3.19956970214843</v>
      </c>
      <c r="C38">
        <f t="shared" si="0"/>
        <v>6.3458913903511174E-2</v>
      </c>
    </row>
    <row r="39" spans="1:3" x14ac:dyDescent="0.25">
      <c r="A39">
        <v>0.489999949932098</v>
      </c>
      <c r="B39">
        <v>3.1892597675323402</v>
      </c>
      <c r="C39">
        <f t="shared" si="0"/>
        <v>6.4992475401396799E-2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47"/>
  <sheetViews>
    <sheetView workbookViewId="0">
      <selection activeCell="B4" sqref="B4"/>
    </sheetView>
  </sheetViews>
  <sheetFormatPr defaultRowHeight="15" x14ac:dyDescent="0.25"/>
  <sheetData>
    <row r="1" spans="1:15" x14ac:dyDescent="0.25">
      <c r="A1" t="str">
        <f ca="1">MID(CELL("filename",A1),FIND("]",CELL("filename",A1))+1,3)</f>
        <v>CCB</v>
      </c>
      <c r="C1" t="str">
        <f ca="1">A1</f>
        <v>CCB</v>
      </c>
    </row>
    <row r="2" spans="1:15" x14ac:dyDescent="0.25">
      <c r="A2">
        <v>100</v>
      </c>
    </row>
    <row r="3" spans="1:15" x14ac:dyDescent="0.25">
      <c r="A3" t="s">
        <v>0</v>
      </c>
    </row>
    <row r="4" spans="1:15" x14ac:dyDescent="0.25">
      <c r="A4">
        <v>0</v>
      </c>
      <c r="B4">
        <v>4.9260005950927699</v>
      </c>
      <c r="C4">
        <f>(10^-B4)*(100+A4)</f>
        <v>1.1857671233665814E-3</v>
      </c>
      <c r="E4" t="s">
        <v>4</v>
      </c>
    </row>
    <row r="5" spans="1:15" ht="15.75" thickBot="1" x14ac:dyDescent="0.3">
      <c r="A5">
        <v>1.3999998569488499E-2</v>
      </c>
      <c r="B5">
        <v>4.6044411659240696</v>
      </c>
      <c r="C5">
        <f t="shared" ref="C5:C47" si="0">(10^-B5)*(100+A5)</f>
        <v>2.4866784519637841E-3</v>
      </c>
    </row>
    <row r="6" spans="1:15" x14ac:dyDescent="0.25">
      <c r="A6">
        <v>2.7999997138976999E-2</v>
      </c>
      <c r="B6">
        <v>4.3936896324157697</v>
      </c>
      <c r="C6">
        <f t="shared" si="0"/>
        <v>4.0404706184576592E-3</v>
      </c>
      <c r="E6" s="3" t="s">
        <v>5</v>
      </c>
      <c r="F6" s="3"/>
    </row>
    <row r="7" spans="1:15" x14ac:dyDescent="0.25">
      <c r="A7">
        <v>4.19999957084655E-2</v>
      </c>
      <c r="B7">
        <v>4.2522277832031197</v>
      </c>
      <c r="C7">
        <f t="shared" si="0"/>
        <v>5.5969906598695067E-3</v>
      </c>
      <c r="E7" t="s">
        <v>6</v>
      </c>
      <c r="F7">
        <v>0.99847174084202273</v>
      </c>
    </row>
    <row r="8" spans="1:15" x14ac:dyDescent="0.25">
      <c r="A8">
        <v>5.5999994277954102E-2</v>
      </c>
      <c r="B8">
        <v>4.1436991691589302</v>
      </c>
      <c r="C8">
        <f t="shared" si="0"/>
        <v>7.1869391474117519E-3</v>
      </c>
      <c r="E8" t="s">
        <v>7</v>
      </c>
      <c r="F8">
        <v>0.99694581726009934</v>
      </c>
    </row>
    <row r="9" spans="1:15" x14ac:dyDescent="0.25">
      <c r="A9">
        <v>6.9999992847442599E-2</v>
      </c>
      <c r="B9">
        <v>4.0574593544006303</v>
      </c>
      <c r="C9">
        <f t="shared" si="0"/>
        <v>8.7668695702296795E-3</v>
      </c>
      <c r="E9" t="s">
        <v>8</v>
      </c>
      <c r="F9">
        <v>0.99686097885065772</v>
      </c>
      <c r="N9" t="s">
        <v>1</v>
      </c>
      <c r="O9">
        <v>3.9869143962860099</v>
      </c>
    </row>
    <row r="10" spans="1:15" x14ac:dyDescent="0.25">
      <c r="A10">
        <v>8.3999991416931097E-2</v>
      </c>
      <c r="B10">
        <v>3.9869143962860099</v>
      </c>
      <c r="C10">
        <f t="shared" si="0"/>
        <v>1.0314549345711976E-2</v>
      </c>
      <c r="E10" t="s">
        <v>9</v>
      </c>
      <c r="F10">
        <v>9.461867377109943E-4</v>
      </c>
    </row>
    <row r="11" spans="1:15" ht="15.75" thickBot="1" x14ac:dyDescent="0.3">
      <c r="A11">
        <v>9.7999989986419594E-2</v>
      </c>
      <c r="B11">
        <v>3.9258346557617099</v>
      </c>
      <c r="C11">
        <f t="shared" si="0"/>
        <v>1.1873827747730424E-2</v>
      </c>
      <c r="E11" s="1" t="s">
        <v>10</v>
      </c>
      <c r="F11" s="1">
        <v>38</v>
      </c>
      <c r="N11" t="s">
        <v>2</v>
      </c>
      <c r="O11">
        <v>10</v>
      </c>
    </row>
    <row r="12" spans="1:15" x14ac:dyDescent="0.25">
      <c r="A12">
        <v>0.11199998855590799</v>
      </c>
      <c r="B12">
        <v>3.9037735462188698</v>
      </c>
      <c r="C12">
        <f t="shared" si="0"/>
        <v>1.2494319039667478E-2</v>
      </c>
      <c r="N12" t="s">
        <v>3</v>
      </c>
      <c r="O12">
        <v>47</v>
      </c>
    </row>
    <row r="13" spans="1:15" ht="15.75" thickBot="1" x14ac:dyDescent="0.3">
      <c r="A13">
        <v>0.12599998712539601</v>
      </c>
      <c r="B13">
        <v>3.90294909477233</v>
      </c>
      <c r="C13">
        <f t="shared" si="0"/>
        <v>1.2519810970692009E-2</v>
      </c>
      <c r="E13" t="s">
        <v>11</v>
      </c>
    </row>
    <row r="14" spans="1:15" x14ac:dyDescent="0.25">
      <c r="A14">
        <v>0.139999985694885</v>
      </c>
      <c r="B14">
        <v>3.9032521247863698</v>
      </c>
      <c r="C14">
        <f t="shared" si="0"/>
        <v>1.2512827636210503E-2</v>
      </c>
      <c r="E14" s="2"/>
      <c r="F14" s="2" t="s">
        <v>16</v>
      </c>
      <c r="G14" s="2" t="s">
        <v>17</v>
      </c>
      <c r="H14" s="2" t="s">
        <v>18</v>
      </c>
      <c r="I14" s="2" t="s">
        <v>19</v>
      </c>
      <c r="J14" s="2" t="s">
        <v>20</v>
      </c>
    </row>
    <row r="15" spans="1:15" x14ac:dyDescent="0.25">
      <c r="A15">
        <v>0.153999984264373</v>
      </c>
      <c r="B15">
        <v>3.7727632522582999</v>
      </c>
      <c r="C15">
        <f t="shared" si="0"/>
        <v>1.6900713773972224E-2</v>
      </c>
      <c r="E15" t="s">
        <v>12</v>
      </c>
      <c r="F15">
        <v>1</v>
      </c>
      <c r="G15">
        <v>1.0520412067129859E-2</v>
      </c>
      <c r="H15">
        <v>1.0520412067129859E-2</v>
      </c>
      <c r="I15">
        <v>11751.113956767353</v>
      </c>
      <c r="J15">
        <v>7.0715206488406865E-47</v>
      </c>
    </row>
    <row r="16" spans="1:15" x14ac:dyDescent="0.25">
      <c r="A16">
        <v>0.167999982833862</v>
      </c>
      <c r="B16">
        <v>3.7333693504333398</v>
      </c>
      <c r="C16">
        <f t="shared" si="0"/>
        <v>1.8508006869874465E-2</v>
      </c>
      <c r="E16" t="s">
        <v>13</v>
      </c>
      <c r="F16">
        <v>36</v>
      </c>
      <c r="G16">
        <v>3.2229696334326259E-5</v>
      </c>
      <c r="H16">
        <v>8.952693426201739E-7</v>
      </c>
    </row>
    <row r="17" spans="1:11" ht="15.75" thickBot="1" x14ac:dyDescent="0.3">
      <c r="A17">
        <v>0.18199998140335</v>
      </c>
      <c r="B17">
        <v>3.69750523567199</v>
      </c>
      <c r="C17">
        <f t="shared" si="0"/>
        <v>2.0104091944333023E-2</v>
      </c>
      <c r="E17" s="1" t="s">
        <v>14</v>
      </c>
      <c r="F17" s="1">
        <v>37</v>
      </c>
      <c r="G17" s="1">
        <v>1.0552641763464186E-2</v>
      </c>
      <c r="H17" s="1"/>
      <c r="I17" s="1"/>
      <c r="J17" s="1"/>
    </row>
    <row r="18" spans="1:11" ht="15.75" thickBot="1" x14ac:dyDescent="0.3">
      <c r="A18">
        <v>0.19599997997283899</v>
      </c>
      <c r="B18">
        <v>3.6637578010559002</v>
      </c>
      <c r="C18">
        <f t="shared" si="0"/>
        <v>2.173164404873406E-2</v>
      </c>
    </row>
    <row r="19" spans="1:11" x14ac:dyDescent="0.25">
      <c r="A19">
        <v>0.20999997854232699</v>
      </c>
      <c r="B19">
        <v>3.6335501670837398</v>
      </c>
      <c r="C19">
        <f t="shared" si="0"/>
        <v>2.3300266853947826E-2</v>
      </c>
      <c r="E19" s="2"/>
      <c r="F19" s="2" t="s">
        <v>21</v>
      </c>
      <c r="G19" s="2" t="s">
        <v>9</v>
      </c>
      <c r="H19" s="2" t="s">
        <v>22</v>
      </c>
      <c r="I19" s="2" t="s">
        <v>23</v>
      </c>
      <c r="J19" s="2" t="s">
        <v>24</v>
      </c>
      <c r="K19" s="2" t="s">
        <v>25</v>
      </c>
    </row>
    <row r="20" spans="1:11" x14ac:dyDescent="0.25">
      <c r="A20">
        <v>0.22399997711181599</v>
      </c>
      <c r="B20">
        <v>3.6037571430206299</v>
      </c>
      <c r="C20">
        <f t="shared" si="0"/>
        <v>2.4958276319191591E-2</v>
      </c>
      <c r="E20" t="s">
        <v>15</v>
      </c>
      <c r="F20">
        <v>4.9231510288145347E-4</v>
      </c>
      <c r="G20">
        <v>3.7571584266860139E-4</v>
      </c>
      <c r="H20">
        <v>1.3103389502680567</v>
      </c>
      <c r="I20">
        <v>0.19838029724477263</v>
      </c>
      <c r="J20">
        <v>-2.6967194370805232E-4</v>
      </c>
      <c r="K20">
        <v>1.2543021494709592E-3</v>
      </c>
    </row>
    <row r="21" spans="1:11" ht="15.75" thickBot="1" x14ac:dyDescent="0.3">
      <c r="A21">
        <v>0.23799997568130399</v>
      </c>
      <c r="B21">
        <v>3.5764596462249698</v>
      </c>
      <c r="C21">
        <f t="shared" si="0"/>
        <v>2.6581087586432135E-2</v>
      </c>
      <c r="E21" s="1" t="s">
        <v>26</v>
      </c>
      <c r="F21" s="1">
        <v>0.10838122196473812</v>
      </c>
      <c r="G21" s="1">
        <v>9.9980320430394557E-4</v>
      </c>
      <c r="H21" s="1">
        <v>108.40255512102725</v>
      </c>
      <c r="I21" s="1">
        <v>7.0715206488406865E-47</v>
      </c>
      <c r="J21" s="1">
        <v>0.10635352708392826</v>
      </c>
      <c r="K21" s="1">
        <v>0.11040891684554799</v>
      </c>
    </row>
    <row r="22" spans="1:11" x14ac:dyDescent="0.25">
      <c r="A22">
        <v>0.25199997425079301</v>
      </c>
      <c r="B22">
        <v>3.5522222518920898</v>
      </c>
      <c r="C22">
        <f t="shared" si="0"/>
        <v>2.811064388690351E-2</v>
      </c>
    </row>
    <row r="23" spans="1:11" x14ac:dyDescent="0.25">
      <c r="A23">
        <v>0.26599997282028198</v>
      </c>
      <c r="B23">
        <v>3.5295703411102202</v>
      </c>
      <c r="C23">
        <f t="shared" si="0"/>
        <v>2.9619883658982243E-2</v>
      </c>
      <c r="E23" s="4" t="s">
        <v>27</v>
      </c>
      <c r="F23">
        <f>+(-F20/F21)</f>
        <v>-4.5424391232793855E-3</v>
      </c>
    </row>
    <row r="24" spans="1:11" x14ac:dyDescent="0.25">
      <c r="A24">
        <v>0.27999997138977001</v>
      </c>
      <c r="B24">
        <v>3.5066328048706001</v>
      </c>
      <c r="C24">
        <f t="shared" si="0"/>
        <v>3.1230685743157884E-2</v>
      </c>
      <c r="E24" s="4" t="s">
        <v>28</v>
      </c>
      <c r="F24" s="5">
        <f>+(F23*0.1*1000000)/100</f>
        <v>-4.5424391232793857</v>
      </c>
    </row>
    <row r="25" spans="1:11" x14ac:dyDescent="0.25">
      <c r="A25">
        <v>0.29399996995925898</v>
      </c>
      <c r="B25">
        <v>3.4847035408020002</v>
      </c>
      <c r="C25">
        <f t="shared" si="0"/>
        <v>3.2852726000775698E-2</v>
      </c>
    </row>
    <row r="26" spans="1:11" x14ac:dyDescent="0.25">
      <c r="A26">
        <v>0.307999968528747</v>
      </c>
      <c r="B26">
        <v>3.4667394161224299</v>
      </c>
      <c r="C26">
        <f t="shared" si="0"/>
        <v>3.4244919923816765E-2</v>
      </c>
    </row>
    <row r="27" spans="1:11" x14ac:dyDescent="0.25">
      <c r="A27">
        <v>0.32199996709823597</v>
      </c>
      <c r="B27">
        <v>3.4463357925414999</v>
      </c>
      <c r="C27">
        <f t="shared" si="0"/>
        <v>3.5897184641845409E-2</v>
      </c>
    </row>
    <row r="28" spans="1:11" x14ac:dyDescent="0.25">
      <c r="A28">
        <v>0.335999965667724</v>
      </c>
      <c r="B28">
        <v>3.42740774154663</v>
      </c>
      <c r="C28">
        <f t="shared" si="0"/>
        <v>3.750153476265343E-2</v>
      </c>
    </row>
    <row r="29" spans="1:11" x14ac:dyDescent="0.25">
      <c r="A29">
        <v>0.34999996423721302</v>
      </c>
      <c r="B29">
        <v>3.4104740619659402</v>
      </c>
      <c r="C29">
        <f t="shared" si="0"/>
        <v>3.8998087978771495E-2</v>
      </c>
    </row>
    <row r="30" spans="1:11" x14ac:dyDescent="0.25">
      <c r="A30">
        <v>0.36399996280670099</v>
      </c>
      <c r="B30">
        <v>3.3935809135436998</v>
      </c>
      <c r="C30">
        <f t="shared" si="0"/>
        <v>4.0550577917682025E-2</v>
      </c>
    </row>
    <row r="31" spans="1:11" x14ac:dyDescent="0.25">
      <c r="A31">
        <v>0.37799996137619002</v>
      </c>
      <c r="B31">
        <v>3.37828421592712</v>
      </c>
      <c r="C31">
        <f t="shared" si="0"/>
        <v>4.201015870003949E-2</v>
      </c>
    </row>
    <row r="32" spans="1:11" x14ac:dyDescent="0.25">
      <c r="A32">
        <v>0.39199995994567799</v>
      </c>
      <c r="B32">
        <v>3.3625233173370299</v>
      </c>
      <c r="C32">
        <f t="shared" si="0"/>
        <v>4.35688190910936E-2</v>
      </c>
    </row>
    <row r="33" spans="1:3" x14ac:dyDescent="0.25">
      <c r="A33">
        <v>0.40599995851516701</v>
      </c>
      <c r="B33">
        <v>3.34768366813659</v>
      </c>
      <c r="C33">
        <f t="shared" si="0"/>
        <v>4.508956002534445E-2</v>
      </c>
    </row>
    <row r="34" spans="1:3" x14ac:dyDescent="0.25">
      <c r="A34">
        <v>0.41999995708465498</v>
      </c>
      <c r="B34">
        <v>3.3331260681152299</v>
      </c>
      <c r="C34">
        <f t="shared" si="0"/>
        <v>4.663308518151997E-2</v>
      </c>
    </row>
    <row r="35" spans="1:3" x14ac:dyDescent="0.25">
      <c r="A35">
        <v>0.43399995565414401</v>
      </c>
      <c r="B35">
        <v>3.3211739063262899</v>
      </c>
      <c r="C35">
        <f t="shared" si="0"/>
        <v>4.7940974003766637E-2</v>
      </c>
    </row>
    <row r="36" spans="1:3" x14ac:dyDescent="0.25">
      <c r="A36">
        <v>0.44799995422363198</v>
      </c>
      <c r="B36">
        <v>3.3064501285552899</v>
      </c>
      <c r="C36">
        <f t="shared" si="0"/>
        <v>4.9601083708123564E-2</v>
      </c>
    </row>
    <row r="37" spans="1:3" x14ac:dyDescent="0.25">
      <c r="A37">
        <v>0.461999952793121</v>
      </c>
      <c r="B37">
        <v>3.2937655448913499</v>
      </c>
      <c r="C37">
        <f t="shared" si="0"/>
        <v>5.1078281207792745E-2</v>
      </c>
    </row>
    <row r="38" spans="1:3" x14ac:dyDescent="0.25">
      <c r="A38">
        <v>0.47599995136260898</v>
      </c>
      <c r="B38">
        <v>3.2817575931549001</v>
      </c>
      <c r="C38">
        <f t="shared" si="0"/>
        <v>5.251758462162999E-2</v>
      </c>
    </row>
    <row r="39" spans="1:3" x14ac:dyDescent="0.25">
      <c r="A39">
        <v>0.489999949932098</v>
      </c>
      <c r="B39">
        <v>3.2689745426177899</v>
      </c>
      <c r="C39">
        <f t="shared" si="0"/>
        <v>5.4093901190053445E-2</v>
      </c>
    </row>
    <row r="40" spans="1:3" x14ac:dyDescent="0.25">
      <c r="A40">
        <v>0.50399994850158603</v>
      </c>
      <c r="B40">
        <v>3.2631607055664</v>
      </c>
      <c r="C40">
        <f t="shared" si="0"/>
        <v>5.4830554886507357E-2</v>
      </c>
    </row>
    <row r="41" spans="1:3" x14ac:dyDescent="0.25">
      <c r="A41">
        <v>0.517999947071075</v>
      </c>
      <c r="B41">
        <v>3.2626762390136701</v>
      </c>
      <c r="C41">
        <f t="shared" si="0"/>
        <v>5.4899400202153614E-2</v>
      </c>
    </row>
    <row r="42" spans="1:3" x14ac:dyDescent="0.25">
      <c r="A42">
        <v>0.53199994564056396</v>
      </c>
      <c r="B42">
        <v>3.2626247406005802</v>
      </c>
      <c r="C42">
        <f t="shared" si="0"/>
        <v>5.4913557744499943E-2</v>
      </c>
    </row>
    <row r="43" spans="1:3" x14ac:dyDescent="0.25">
      <c r="A43">
        <v>0.54599994421005205</v>
      </c>
      <c r="B43">
        <v>3.2260003089904701</v>
      </c>
      <c r="C43">
        <f t="shared" si="0"/>
        <v>5.9753656833647126E-2</v>
      </c>
    </row>
    <row r="44" spans="1:3" x14ac:dyDescent="0.25">
      <c r="A44">
        <v>0.55999994277954102</v>
      </c>
      <c r="B44">
        <v>3.21510457992553</v>
      </c>
      <c r="C44">
        <f t="shared" si="0"/>
        <v>6.1280272029225723E-2</v>
      </c>
    </row>
    <row r="45" spans="1:3" x14ac:dyDescent="0.25">
      <c r="A45">
        <v>0.57399994134902899</v>
      </c>
      <c r="B45">
        <v>3.2049796581268302</v>
      </c>
      <c r="C45">
        <f t="shared" si="0"/>
        <v>6.2734445650456466E-2</v>
      </c>
    </row>
    <row r="46" spans="1:3" x14ac:dyDescent="0.25">
      <c r="A46">
        <v>0.58799993991851796</v>
      </c>
      <c r="B46">
        <v>3.1953039169311501</v>
      </c>
      <c r="C46">
        <f t="shared" si="0"/>
        <v>6.4156735261165387E-2</v>
      </c>
    </row>
    <row r="47" spans="1:3" x14ac:dyDescent="0.25">
      <c r="A47">
        <v>0.60199993848800604</v>
      </c>
      <c r="B47">
        <v>3.1867570877075102</v>
      </c>
      <c r="C47">
        <f t="shared" si="0"/>
        <v>6.5440939667002901E-2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9"/>
  <sheetViews>
    <sheetView workbookViewId="0">
      <selection activeCell="B4" sqref="B4"/>
    </sheetView>
  </sheetViews>
  <sheetFormatPr defaultRowHeight="15" x14ac:dyDescent="0.25"/>
  <sheetData>
    <row r="1" spans="1:15" x14ac:dyDescent="0.25">
      <c r="A1" t="str">
        <f ca="1">MID(CELL("filename",A1),FIND("]",CELL("filename",A1))+1,3)</f>
        <v>Fie</v>
      </c>
      <c r="C1" t="str">
        <f ca="1">A1</f>
        <v>Fie</v>
      </c>
    </row>
    <row r="2" spans="1:15" x14ac:dyDescent="0.25">
      <c r="A2">
        <v>100</v>
      </c>
    </row>
    <row r="3" spans="1:15" x14ac:dyDescent="0.25">
      <c r="A3" t="s">
        <v>0</v>
      </c>
    </row>
    <row r="4" spans="1:15" x14ac:dyDescent="0.25">
      <c r="A4">
        <v>0</v>
      </c>
      <c r="B4">
        <v>5.5711097717285103</v>
      </c>
      <c r="C4">
        <f>(10^-B4)*(100+A4)</f>
        <v>2.6846657871366979E-4</v>
      </c>
      <c r="E4" t="s">
        <v>4</v>
      </c>
    </row>
    <row r="5" spans="1:15" ht="15.75" thickBot="1" x14ac:dyDescent="0.3">
      <c r="A5">
        <v>1.3999998569488499E-2</v>
      </c>
      <c r="B5">
        <v>5.5636210441589302</v>
      </c>
      <c r="C5">
        <f t="shared" ref="C5:C49" si="0">(10^-B5)*(100+A5)</f>
        <v>2.7317424585606467E-4</v>
      </c>
    </row>
    <row r="6" spans="1:15" x14ac:dyDescent="0.25">
      <c r="A6">
        <v>2.7999997138976999E-2</v>
      </c>
      <c r="B6">
        <v>5.5610680580139098</v>
      </c>
      <c r="C6">
        <f t="shared" si="0"/>
        <v>2.7482328558048308E-4</v>
      </c>
      <c r="E6" s="3" t="s">
        <v>5</v>
      </c>
      <c r="F6" s="3"/>
    </row>
    <row r="7" spans="1:15" x14ac:dyDescent="0.25">
      <c r="A7">
        <v>4.19999957084655E-2</v>
      </c>
      <c r="B7">
        <v>5.5545978546142498</v>
      </c>
      <c r="C7">
        <f t="shared" si="0"/>
        <v>2.7898734939488056E-4</v>
      </c>
      <c r="E7" t="s">
        <v>6</v>
      </c>
      <c r="F7">
        <v>0.99798696511859053</v>
      </c>
    </row>
    <row r="8" spans="1:15" x14ac:dyDescent="0.25">
      <c r="A8">
        <v>5.5999994277954102E-2</v>
      </c>
      <c r="B8">
        <v>4.3585071563720703</v>
      </c>
      <c r="C8">
        <f t="shared" si="0"/>
        <v>4.3826418392261179E-3</v>
      </c>
      <c r="E8" t="s">
        <v>7</v>
      </c>
      <c r="F8">
        <v>0.99597798254661474</v>
      </c>
    </row>
    <row r="9" spans="1:15" x14ac:dyDescent="0.25">
      <c r="A9">
        <v>6.9999992847442599E-2</v>
      </c>
      <c r="B9">
        <v>4.2508459091186497</v>
      </c>
      <c r="C9">
        <f t="shared" si="0"/>
        <v>5.6163994821867621E-3</v>
      </c>
      <c r="E9" t="s">
        <v>8</v>
      </c>
      <c r="F9">
        <v>0.99586306776223243</v>
      </c>
      <c r="N9" t="s">
        <v>1</v>
      </c>
      <c r="O9">
        <v>3.9363977909088099</v>
      </c>
    </row>
    <row r="10" spans="1:15" x14ac:dyDescent="0.25">
      <c r="A10">
        <v>8.3999991416931097E-2</v>
      </c>
      <c r="B10">
        <v>4.24969005584716</v>
      </c>
      <c r="C10">
        <f t="shared" si="0"/>
        <v>5.632155000334288E-3</v>
      </c>
      <c r="E10" t="s">
        <v>9</v>
      </c>
      <c r="F10">
        <v>1.0454147393954506E-3</v>
      </c>
    </row>
    <row r="11" spans="1:15" ht="15.75" thickBot="1" x14ac:dyDescent="0.3">
      <c r="A11">
        <v>9.7999989986419594E-2</v>
      </c>
      <c r="B11">
        <v>4.2489042282104403</v>
      </c>
      <c r="C11">
        <f t="shared" si="0"/>
        <v>5.6431445109541871E-3</v>
      </c>
      <c r="E11" s="1" t="s">
        <v>10</v>
      </c>
      <c r="F11" s="1">
        <v>37</v>
      </c>
      <c r="N11" t="s">
        <v>2</v>
      </c>
      <c r="O11">
        <v>13</v>
      </c>
    </row>
    <row r="12" spans="1:15" x14ac:dyDescent="0.25">
      <c r="A12">
        <v>0.11199998855590799</v>
      </c>
      <c r="B12">
        <v>4.0022549629211399</v>
      </c>
      <c r="C12">
        <f t="shared" si="0"/>
        <v>9.9593541203576528E-3</v>
      </c>
      <c r="N12" t="s">
        <v>3</v>
      </c>
      <c r="O12">
        <v>49</v>
      </c>
    </row>
    <row r="13" spans="1:15" ht="15.75" thickBot="1" x14ac:dyDescent="0.3">
      <c r="A13">
        <v>0.12599998712539601</v>
      </c>
      <c r="B13">
        <v>3.9363977909088099</v>
      </c>
      <c r="C13">
        <f t="shared" si="0"/>
        <v>1.1591751855588054E-2</v>
      </c>
      <c r="E13" t="s">
        <v>11</v>
      </c>
    </row>
    <row r="14" spans="1:15" x14ac:dyDescent="0.25">
      <c r="A14">
        <v>0.139999985694885</v>
      </c>
      <c r="B14">
        <v>3.8804695606231601</v>
      </c>
      <c r="C14">
        <f t="shared" si="0"/>
        <v>1.3186757701749242E-2</v>
      </c>
      <c r="E14" s="2"/>
      <c r="F14" s="2" t="s">
        <v>16</v>
      </c>
      <c r="G14" s="2" t="s">
        <v>17</v>
      </c>
      <c r="H14" s="2" t="s">
        <v>18</v>
      </c>
      <c r="I14" s="2" t="s">
        <v>19</v>
      </c>
      <c r="J14" s="2" t="s">
        <v>20</v>
      </c>
    </row>
    <row r="15" spans="1:15" x14ac:dyDescent="0.25">
      <c r="A15">
        <v>0.153999984264373</v>
      </c>
      <c r="B15">
        <v>3.8309736251831001</v>
      </c>
      <c r="C15">
        <f t="shared" si="0"/>
        <v>1.478068881887128E-2</v>
      </c>
      <c r="E15" t="s">
        <v>12</v>
      </c>
      <c r="F15">
        <v>1</v>
      </c>
      <c r="G15">
        <v>9.4722045782656469E-3</v>
      </c>
      <c r="H15">
        <v>9.4722045782656469E-3</v>
      </c>
      <c r="I15">
        <v>8667.1004770979853</v>
      </c>
      <c r="J15">
        <v>1.6047273003031006E-43</v>
      </c>
    </row>
    <row r="16" spans="1:15" x14ac:dyDescent="0.25">
      <c r="A16">
        <v>0.167999982833862</v>
      </c>
      <c r="B16">
        <v>3.78609871864318</v>
      </c>
      <c r="C16">
        <f t="shared" si="0"/>
        <v>1.6391937285789596E-2</v>
      </c>
      <c r="E16" t="s">
        <v>13</v>
      </c>
      <c r="F16">
        <v>35</v>
      </c>
      <c r="G16">
        <v>3.8251219207084027E-5</v>
      </c>
      <c r="H16">
        <v>1.092891977345258E-6</v>
      </c>
    </row>
    <row r="17" spans="1:11" ht="15.75" thickBot="1" x14ac:dyDescent="0.3">
      <c r="A17">
        <v>0.18199998140335</v>
      </c>
      <c r="B17">
        <v>3.7462317943572998</v>
      </c>
      <c r="C17">
        <f t="shared" si="0"/>
        <v>1.7970406579595519E-2</v>
      </c>
      <c r="E17" s="1" t="s">
        <v>14</v>
      </c>
      <c r="F17" s="1">
        <v>36</v>
      </c>
      <c r="G17" s="1">
        <v>9.5104557974727312E-3</v>
      </c>
      <c r="H17" s="1"/>
      <c r="I17" s="1"/>
      <c r="J17" s="1"/>
    </row>
    <row r="18" spans="1:11" ht="15.75" thickBot="1" x14ac:dyDescent="0.3">
      <c r="A18">
        <v>0.19599997997283899</v>
      </c>
      <c r="B18">
        <v>3.7099075317382799</v>
      </c>
      <c r="C18">
        <f t="shared" si="0"/>
        <v>1.9540823059621702E-2</v>
      </c>
    </row>
    <row r="19" spans="1:11" x14ac:dyDescent="0.25">
      <c r="A19">
        <v>0.20999997854232699</v>
      </c>
      <c r="B19">
        <v>3.67605352401733</v>
      </c>
      <c r="C19">
        <f t="shared" si="0"/>
        <v>2.1127958639717313E-2</v>
      </c>
      <c r="E19" s="2"/>
      <c r="F19" s="2" t="s">
        <v>21</v>
      </c>
      <c r="G19" s="2" t="s">
        <v>9</v>
      </c>
      <c r="H19" s="2" t="s">
        <v>22</v>
      </c>
      <c r="I19" s="2" t="s">
        <v>23</v>
      </c>
      <c r="J19" s="2" t="s">
        <v>24</v>
      </c>
      <c r="K19" s="2" t="s">
        <v>25</v>
      </c>
    </row>
    <row r="20" spans="1:11" x14ac:dyDescent="0.25">
      <c r="A20">
        <v>0.22399997711181599</v>
      </c>
      <c r="B20">
        <v>3.6444902420043901</v>
      </c>
      <c r="C20">
        <f t="shared" si="0"/>
        <v>2.2723827802397959E-2</v>
      </c>
      <c r="E20" t="s">
        <v>15</v>
      </c>
      <c r="F20">
        <v>-2.1896043801532955E-3</v>
      </c>
      <c r="G20">
        <v>4.6735739461983914E-4</v>
      </c>
      <c r="H20">
        <v>-4.6850748599674512</v>
      </c>
      <c r="I20">
        <v>4.1379365632547586E-5</v>
      </c>
      <c r="J20">
        <v>-3.1383903322974556E-3</v>
      </c>
      <c r="K20">
        <v>-1.2408184280091354E-3</v>
      </c>
    </row>
    <row r="21" spans="1:11" ht="15.75" thickBot="1" x14ac:dyDescent="0.3">
      <c r="A21">
        <v>0.23799997568130399</v>
      </c>
      <c r="B21">
        <v>3.62680912017822</v>
      </c>
      <c r="C21">
        <f t="shared" si="0"/>
        <v>2.3671363389374225E-2</v>
      </c>
      <c r="E21" s="1" t="s">
        <v>26</v>
      </c>
      <c r="F21" s="1">
        <v>0.10703954531627757</v>
      </c>
      <c r="G21" s="1">
        <v>1.1497603823745661E-3</v>
      </c>
      <c r="H21" s="1">
        <v>93.097263531738648</v>
      </c>
      <c r="I21" s="1">
        <v>1.6047273003030781E-43</v>
      </c>
      <c r="J21" s="1">
        <v>0.10470540764843082</v>
      </c>
      <c r="K21" s="1">
        <v>0.10937368298412432</v>
      </c>
    </row>
    <row r="22" spans="1:11" x14ac:dyDescent="0.25">
      <c r="A22">
        <v>0.25199997425079301</v>
      </c>
      <c r="B22">
        <v>3.6269848346710201</v>
      </c>
      <c r="C22">
        <f t="shared" si="0"/>
        <v>2.3665092735045357E-2</v>
      </c>
    </row>
    <row r="23" spans="1:11" x14ac:dyDescent="0.25">
      <c r="A23">
        <v>0.26599997282028198</v>
      </c>
      <c r="B23">
        <v>3.6268739700317298</v>
      </c>
      <c r="C23">
        <f t="shared" si="0"/>
        <v>2.3674440247347248E-2</v>
      </c>
      <c r="E23" s="4" t="s">
        <v>27</v>
      </c>
      <c r="F23">
        <f>+(-F20/F21)</f>
        <v>2.0456032148525215E-2</v>
      </c>
    </row>
    <row r="24" spans="1:11" x14ac:dyDescent="0.25">
      <c r="A24">
        <v>0.27999997138977001</v>
      </c>
      <c r="B24">
        <v>3.55470442771911</v>
      </c>
      <c r="C24">
        <f t="shared" si="0"/>
        <v>2.7958244428693272E-2</v>
      </c>
      <c r="E24" s="4" t="s">
        <v>28</v>
      </c>
      <c r="F24" s="5">
        <f>+(F23*0.1*1000000)/100</f>
        <v>20.456032148525217</v>
      </c>
    </row>
    <row r="25" spans="1:11" x14ac:dyDescent="0.25">
      <c r="A25">
        <v>0.29399996995925898</v>
      </c>
      <c r="B25">
        <v>3.5301873683929399</v>
      </c>
      <c r="C25">
        <f t="shared" si="0"/>
        <v>2.9586090678722646E-2</v>
      </c>
    </row>
    <row r="26" spans="1:11" x14ac:dyDescent="0.25">
      <c r="A26">
        <v>0.307999968528747</v>
      </c>
      <c r="B26">
        <v>3.5079529285430899</v>
      </c>
      <c r="C26">
        <f t="shared" si="0"/>
        <v>3.1144591762710436E-2</v>
      </c>
    </row>
    <row r="27" spans="1:11" x14ac:dyDescent="0.25">
      <c r="A27">
        <v>0.32199996709823597</v>
      </c>
      <c r="B27">
        <v>3.4865427017211901</v>
      </c>
      <c r="C27">
        <f t="shared" si="0"/>
        <v>3.2723027680420277E-2</v>
      </c>
    </row>
    <row r="28" spans="1:11" x14ac:dyDescent="0.25">
      <c r="A28">
        <v>0.335999965667724</v>
      </c>
      <c r="B28">
        <v>3.4661636352539</v>
      </c>
      <c r="C28">
        <f t="shared" si="0"/>
        <v>3.4299923231714241E-2</v>
      </c>
    </row>
    <row r="29" spans="1:11" x14ac:dyDescent="0.25">
      <c r="A29">
        <v>0.34999996423721302</v>
      </c>
      <c r="B29">
        <v>3.4488208293914702</v>
      </c>
      <c r="C29">
        <f t="shared" si="0"/>
        <v>3.5702328962549087E-2</v>
      </c>
    </row>
    <row r="30" spans="1:11" x14ac:dyDescent="0.25">
      <c r="A30">
        <v>0.36399996280670099</v>
      </c>
      <c r="B30">
        <v>3.4490196704864502</v>
      </c>
      <c r="C30">
        <f t="shared" si="0"/>
        <v>3.5690965057251424E-2</v>
      </c>
    </row>
    <row r="31" spans="1:11" x14ac:dyDescent="0.25">
      <c r="A31">
        <v>0.37799996137619002</v>
      </c>
      <c r="B31">
        <v>3.44835901260375</v>
      </c>
      <c r="C31">
        <f t="shared" si="0"/>
        <v>3.5750286411731183E-2</v>
      </c>
    </row>
    <row r="32" spans="1:11" x14ac:dyDescent="0.25">
      <c r="A32">
        <v>0.39199995994567799</v>
      </c>
      <c r="B32">
        <v>3.4488565921783398</v>
      </c>
      <c r="C32">
        <f t="shared" si="0"/>
        <v>3.5714330555747457E-2</v>
      </c>
    </row>
    <row r="33" spans="1:3" x14ac:dyDescent="0.25">
      <c r="A33">
        <v>0.40599995851516701</v>
      </c>
      <c r="B33">
        <v>3.38846611976623</v>
      </c>
      <c r="C33">
        <f t="shared" si="0"/>
        <v>4.1048145961545296E-2</v>
      </c>
    </row>
    <row r="34" spans="1:3" x14ac:dyDescent="0.25">
      <c r="A34">
        <v>0.41999995708465498</v>
      </c>
      <c r="B34">
        <v>3.37185406684875</v>
      </c>
      <c r="C34">
        <f t="shared" si="0"/>
        <v>4.2654627142476205E-2</v>
      </c>
    </row>
    <row r="35" spans="1:3" x14ac:dyDescent="0.25">
      <c r="A35">
        <v>0.43399995565414401</v>
      </c>
      <c r="B35">
        <v>3.3558175563812198</v>
      </c>
      <c r="C35">
        <f t="shared" si="0"/>
        <v>4.4265278724082459E-2</v>
      </c>
    </row>
    <row r="36" spans="1:3" x14ac:dyDescent="0.25">
      <c r="A36">
        <v>0.44799995422363198</v>
      </c>
      <c r="B36">
        <v>3.3403906822204501</v>
      </c>
      <c r="C36">
        <f t="shared" si="0"/>
        <v>4.5872310113563117E-2</v>
      </c>
    </row>
    <row r="37" spans="1:3" x14ac:dyDescent="0.25">
      <c r="A37">
        <v>0.461999952793121</v>
      </c>
      <c r="B37">
        <v>3.3254864215850799</v>
      </c>
      <c r="C37">
        <f t="shared" si="0"/>
        <v>4.7480512502828219E-2</v>
      </c>
    </row>
    <row r="38" spans="1:3" x14ac:dyDescent="0.25">
      <c r="A38">
        <v>0.47599995136260898</v>
      </c>
      <c r="B38">
        <v>3.3104166984558101</v>
      </c>
      <c r="C38">
        <f t="shared" si="0"/>
        <v>4.9163822109862414E-2</v>
      </c>
    </row>
    <row r="39" spans="1:3" x14ac:dyDescent="0.25">
      <c r="A39">
        <v>0.489999949932098</v>
      </c>
      <c r="B39">
        <v>3.2988266944885201</v>
      </c>
      <c r="C39">
        <f t="shared" si="0"/>
        <v>5.0500555056800171E-2</v>
      </c>
    </row>
    <row r="40" spans="1:3" x14ac:dyDescent="0.25">
      <c r="A40">
        <v>0.50399994850158603</v>
      </c>
      <c r="B40">
        <v>3.2870240211486799</v>
      </c>
      <c r="C40">
        <f t="shared" si="0"/>
        <v>5.1899040097083057E-2</v>
      </c>
    </row>
    <row r="41" spans="1:3" x14ac:dyDescent="0.25">
      <c r="A41">
        <v>0.517999947071075</v>
      </c>
      <c r="B41">
        <v>3.2748496532440101</v>
      </c>
      <c r="C41">
        <f t="shared" si="0"/>
        <v>5.3381919422492145E-2</v>
      </c>
    </row>
    <row r="42" spans="1:3" x14ac:dyDescent="0.25">
      <c r="A42">
        <v>0.53199994564056396</v>
      </c>
      <c r="B42">
        <v>3.26272225379943</v>
      </c>
      <c r="C42">
        <f t="shared" si="0"/>
        <v>5.4901229253622896E-2</v>
      </c>
    </row>
    <row r="43" spans="1:3" x14ac:dyDescent="0.25">
      <c r="A43">
        <v>0.54599994421005205</v>
      </c>
      <c r="B43">
        <v>3.2515609264373699</v>
      </c>
      <c r="C43">
        <f t="shared" si="0"/>
        <v>5.6338317263499138E-2</v>
      </c>
    </row>
    <row r="44" spans="1:3" x14ac:dyDescent="0.25">
      <c r="A44">
        <v>0.55999994277954102</v>
      </c>
      <c r="B44">
        <v>3.2390682697296098</v>
      </c>
      <c r="C44">
        <f t="shared" si="0"/>
        <v>5.7990518881610026E-2</v>
      </c>
    </row>
    <row r="45" spans="1:3" x14ac:dyDescent="0.25">
      <c r="A45">
        <v>0.57399994134902899</v>
      </c>
      <c r="B45">
        <v>3.2282366752624498</v>
      </c>
      <c r="C45">
        <f t="shared" si="0"/>
        <v>5.9463305513158732E-2</v>
      </c>
    </row>
    <row r="46" spans="1:3" x14ac:dyDescent="0.25">
      <c r="A46">
        <v>0.58799993991851796</v>
      </c>
      <c r="B46">
        <v>3.2155299186706499</v>
      </c>
      <c r="C46">
        <f t="shared" si="0"/>
        <v>6.123733103796155E-2</v>
      </c>
    </row>
    <row r="47" spans="1:3" x14ac:dyDescent="0.25">
      <c r="A47">
        <v>0.60199993848800604</v>
      </c>
      <c r="B47">
        <v>3.2044537067413299</v>
      </c>
      <c r="C47">
        <f t="shared" si="0"/>
        <v>6.2827952642881185E-2</v>
      </c>
    </row>
    <row r="48" spans="1:3" x14ac:dyDescent="0.25">
      <c r="A48">
        <v>0.61599993705749501</v>
      </c>
      <c r="B48">
        <v>3.1944270133972101</v>
      </c>
      <c r="C48">
        <f t="shared" si="0"/>
        <v>6.4304302852533246E-2</v>
      </c>
    </row>
    <row r="49" spans="1:3" x14ac:dyDescent="0.25">
      <c r="A49">
        <v>0.62999993562698298</v>
      </c>
      <c r="B49">
        <v>3.1843988895416202</v>
      </c>
      <c r="C49">
        <f t="shared" si="0"/>
        <v>6.5815560298970691E-2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41"/>
  <sheetViews>
    <sheetView workbookViewId="0">
      <selection activeCell="B4" sqref="B4"/>
    </sheetView>
  </sheetViews>
  <sheetFormatPr defaultRowHeight="15" x14ac:dyDescent="0.25"/>
  <sheetData>
    <row r="1" spans="1:15" x14ac:dyDescent="0.25">
      <c r="A1" t="str">
        <f ca="1">MID(CELL("filename",A1),FIND("]",CELL("filename",A1))+1,3)</f>
        <v>MWR</v>
      </c>
      <c r="C1" t="str">
        <f ca="1">A1</f>
        <v>MWR</v>
      </c>
    </row>
    <row r="2" spans="1:15" x14ac:dyDescent="0.25">
      <c r="A2">
        <v>100</v>
      </c>
    </row>
    <row r="3" spans="1:15" x14ac:dyDescent="0.25">
      <c r="A3" t="s">
        <v>0</v>
      </c>
    </row>
    <row r="4" spans="1:15" x14ac:dyDescent="0.25">
      <c r="A4">
        <v>0</v>
      </c>
      <c r="B4">
        <v>8.0775108337402308</v>
      </c>
      <c r="C4">
        <f>(10^-B4)*(100+A4)</f>
        <v>8.3654472737804604E-7</v>
      </c>
      <c r="E4" t="s">
        <v>4</v>
      </c>
    </row>
    <row r="5" spans="1:15" ht="15.75" thickBot="1" x14ac:dyDescent="0.3">
      <c r="A5">
        <v>1.3999998569488499E-2</v>
      </c>
      <c r="B5">
        <v>8.0570859909057599</v>
      </c>
      <c r="C5">
        <f t="shared" ref="C5:C68" si="0">(10^-B5)*(100+A5)</f>
        <v>8.7694994675703669E-7</v>
      </c>
    </row>
    <row r="6" spans="1:15" x14ac:dyDescent="0.25">
      <c r="A6">
        <v>2.7999997138976999E-2</v>
      </c>
      <c r="B6">
        <v>8.0326614379882795</v>
      </c>
      <c r="C6">
        <f t="shared" si="0"/>
        <v>9.2781234651682163E-7</v>
      </c>
      <c r="E6" s="3" t="s">
        <v>5</v>
      </c>
      <c r="F6" s="3"/>
    </row>
    <row r="7" spans="1:15" x14ac:dyDescent="0.25">
      <c r="A7">
        <v>4.19999957084655E-2</v>
      </c>
      <c r="B7">
        <v>8.0087375640869105</v>
      </c>
      <c r="C7">
        <f t="shared" si="0"/>
        <v>9.8049368590617325E-7</v>
      </c>
      <c r="E7" t="s">
        <v>6</v>
      </c>
      <c r="F7">
        <v>0.99997862356916878</v>
      </c>
    </row>
    <row r="8" spans="1:15" x14ac:dyDescent="0.25">
      <c r="A8">
        <v>5.5999994277954102E-2</v>
      </c>
      <c r="B8">
        <v>7.9840211868286097</v>
      </c>
      <c r="C8">
        <f t="shared" si="0"/>
        <v>1.0380587892824219E-6</v>
      </c>
      <c r="E8" t="s">
        <v>7</v>
      </c>
      <c r="F8">
        <v>0.99995724759528937</v>
      </c>
    </row>
    <row r="9" spans="1:15" x14ac:dyDescent="0.25">
      <c r="A9">
        <v>6.9999992847442599E-2</v>
      </c>
      <c r="B9">
        <v>7.9612612724304199</v>
      </c>
      <c r="C9">
        <f t="shared" si="0"/>
        <v>1.0940637466840751E-6</v>
      </c>
      <c r="E9" t="s">
        <v>8</v>
      </c>
      <c r="F9">
        <v>0.999956151379784</v>
      </c>
      <c r="N9" t="s">
        <v>1</v>
      </c>
      <c r="O9">
        <v>3.9715998172760001</v>
      </c>
    </row>
    <row r="10" spans="1:15" x14ac:dyDescent="0.25">
      <c r="A10">
        <v>8.3999991416931097E-2</v>
      </c>
      <c r="B10">
        <v>7.9379301071166903</v>
      </c>
      <c r="C10">
        <f t="shared" si="0"/>
        <v>1.1546079595440652E-6</v>
      </c>
      <c r="E10" t="s">
        <v>9</v>
      </c>
      <c r="F10">
        <v>1.1468908963899292E-4</v>
      </c>
    </row>
    <row r="11" spans="1:15" ht="15.75" thickBot="1" x14ac:dyDescent="0.3">
      <c r="A11">
        <v>9.7999989986419594E-2</v>
      </c>
      <c r="B11">
        <v>7.9137263298034597</v>
      </c>
      <c r="C11">
        <f t="shared" si="0"/>
        <v>1.2209533486757792E-6</v>
      </c>
      <c r="E11" s="1" t="s">
        <v>10</v>
      </c>
      <c r="F11" s="1">
        <v>41</v>
      </c>
      <c r="N11" t="s">
        <v>2</v>
      </c>
      <c r="O11">
        <v>401</v>
      </c>
    </row>
    <row r="12" spans="1:15" x14ac:dyDescent="0.25">
      <c r="A12">
        <v>0.11199998855590799</v>
      </c>
      <c r="B12">
        <v>7.8916893005370996</v>
      </c>
      <c r="C12">
        <f t="shared" si="0"/>
        <v>1.2846855434719821E-6</v>
      </c>
      <c r="N12" t="s">
        <v>3</v>
      </c>
      <c r="O12">
        <v>441</v>
      </c>
    </row>
    <row r="13" spans="1:15" ht="15.75" thickBot="1" x14ac:dyDescent="0.3">
      <c r="A13">
        <v>0.12599998712539601</v>
      </c>
      <c r="B13">
        <v>7.8709526062011701</v>
      </c>
      <c r="C13">
        <f t="shared" si="0"/>
        <v>1.3477032024025058E-6</v>
      </c>
      <c r="E13" t="s">
        <v>11</v>
      </c>
    </row>
    <row r="14" spans="1:15" x14ac:dyDescent="0.25">
      <c r="A14">
        <v>0.139999985694885</v>
      </c>
      <c r="B14">
        <v>7.8514823913574201</v>
      </c>
      <c r="C14">
        <f t="shared" si="0"/>
        <v>1.40969511777138E-6</v>
      </c>
      <c r="E14" s="2"/>
      <c r="F14" s="2" t="s">
        <v>16</v>
      </c>
      <c r="G14" s="2" t="s">
        <v>17</v>
      </c>
      <c r="H14" s="2" t="s">
        <v>18</v>
      </c>
      <c r="I14" s="2" t="s">
        <v>19</v>
      </c>
      <c r="J14" s="2" t="s">
        <v>20</v>
      </c>
    </row>
    <row r="15" spans="1:15" x14ac:dyDescent="0.25">
      <c r="A15">
        <v>0.153999984264373</v>
      </c>
      <c r="B15">
        <v>7.85389804840087</v>
      </c>
      <c r="C15">
        <f t="shared" si="0"/>
        <v>1.402071787681147E-6</v>
      </c>
      <c r="E15" t="s">
        <v>12</v>
      </c>
      <c r="F15">
        <v>1</v>
      </c>
      <c r="G15">
        <v>1.1998575891279856E-2</v>
      </c>
      <c r="H15">
        <v>1.1998575891279856E-2</v>
      </c>
      <c r="I15">
        <v>912190.38835875073</v>
      </c>
      <c r="J15">
        <v>8.0791121045322511E-87</v>
      </c>
    </row>
    <row r="16" spans="1:15" x14ac:dyDescent="0.25">
      <c r="A16">
        <v>0.167999982833862</v>
      </c>
      <c r="B16">
        <v>7.8653616905212402</v>
      </c>
      <c r="C16">
        <f t="shared" si="0"/>
        <v>1.3657377441766896E-6</v>
      </c>
      <c r="E16" t="s">
        <v>13</v>
      </c>
      <c r="F16">
        <v>39</v>
      </c>
      <c r="G16">
        <v>5.1298990400661725E-7</v>
      </c>
      <c r="H16">
        <v>1.3153587282220954E-8</v>
      </c>
    </row>
    <row r="17" spans="1:11" ht="15.75" thickBot="1" x14ac:dyDescent="0.3">
      <c r="A17">
        <v>0.18199998140335</v>
      </c>
      <c r="B17">
        <v>7.87629842758178</v>
      </c>
      <c r="C17">
        <f t="shared" si="0"/>
        <v>1.3319602672098669E-6</v>
      </c>
      <c r="E17" s="1" t="s">
        <v>14</v>
      </c>
      <c r="F17" s="1">
        <v>40</v>
      </c>
      <c r="G17" s="1">
        <v>1.1999088881183863E-2</v>
      </c>
      <c r="H17" s="1"/>
      <c r="I17" s="1"/>
      <c r="J17" s="1"/>
    </row>
    <row r="18" spans="1:11" ht="15.75" thickBot="1" x14ac:dyDescent="0.3">
      <c r="A18">
        <v>0.19599997997283899</v>
      </c>
      <c r="B18">
        <v>7.7896013259887598</v>
      </c>
      <c r="C18">
        <f t="shared" si="0"/>
        <v>1.6264812383315013E-6</v>
      </c>
    </row>
    <row r="19" spans="1:11" x14ac:dyDescent="0.25">
      <c r="A19">
        <v>0.20999997854232699</v>
      </c>
      <c r="B19">
        <v>7.77031993865966</v>
      </c>
      <c r="C19">
        <f t="shared" si="0"/>
        <v>1.7005567258903408E-6</v>
      </c>
      <c r="E19" s="2"/>
      <c r="F19" s="2" t="s">
        <v>21</v>
      </c>
      <c r="G19" s="2" t="s">
        <v>9</v>
      </c>
      <c r="H19" s="2" t="s">
        <v>22</v>
      </c>
      <c r="I19" s="2" t="s">
        <v>23</v>
      </c>
      <c r="J19" s="2" t="s">
        <v>24</v>
      </c>
      <c r="K19" s="2" t="s">
        <v>25</v>
      </c>
    </row>
    <row r="20" spans="1:11" x14ac:dyDescent="0.25">
      <c r="A20">
        <v>0.22399997711181599</v>
      </c>
      <c r="B20">
        <v>7.7501554489135698</v>
      </c>
      <c r="C20">
        <f t="shared" si="0"/>
        <v>1.7816249366029541E-6</v>
      </c>
      <c r="E20" t="s">
        <v>15</v>
      </c>
      <c r="F20">
        <v>-0.56290646243445208</v>
      </c>
      <c r="G20">
        <v>6.3150530193216252E-4</v>
      </c>
      <c r="H20">
        <v>-891.37250425637842</v>
      </c>
      <c r="I20">
        <v>1.1930765727330342E-85</v>
      </c>
      <c r="J20">
        <v>-0.5641838024746253</v>
      </c>
      <c r="K20">
        <v>-0.56162912239427887</v>
      </c>
    </row>
    <row r="21" spans="1:11" ht="15.75" thickBot="1" x14ac:dyDescent="0.3">
      <c r="A21">
        <v>0.23799997568130399</v>
      </c>
      <c r="B21">
        <v>7.7328920364379803</v>
      </c>
      <c r="C21">
        <f t="shared" si="0"/>
        <v>1.8541307487223672E-6</v>
      </c>
      <c r="E21" s="1" t="s">
        <v>26</v>
      </c>
      <c r="F21" s="1">
        <v>0.10327160900504259</v>
      </c>
      <c r="G21" s="1">
        <v>1.0812800685107825E-4</v>
      </c>
      <c r="H21" s="1">
        <v>955.08658683846602</v>
      </c>
      <c r="I21" s="1">
        <v>8.0791121045322511E-87</v>
      </c>
      <c r="J21" s="1">
        <v>0.10305289946738325</v>
      </c>
      <c r="K21" s="1">
        <v>0.10349031854270194</v>
      </c>
    </row>
    <row r="22" spans="1:11" x14ac:dyDescent="0.25">
      <c r="A22">
        <v>0.25199997425079301</v>
      </c>
      <c r="B22">
        <v>7.7148923873901296</v>
      </c>
      <c r="C22">
        <f t="shared" si="0"/>
        <v>1.9328611543800015E-6</v>
      </c>
    </row>
    <row r="23" spans="1:11" x14ac:dyDescent="0.25">
      <c r="A23">
        <v>0.26599997282028198</v>
      </c>
      <c r="B23">
        <v>7.6957907676696697</v>
      </c>
      <c r="C23">
        <f t="shared" si="0"/>
        <v>2.0200537333044928E-6</v>
      </c>
      <c r="E23" s="4" t="s">
        <v>27</v>
      </c>
      <c r="F23">
        <f>+(-F20/F21)</f>
        <v>5.4507377957766323</v>
      </c>
    </row>
    <row r="24" spans="1:11" x14ac:dyDescent="0.25">
      <c r="A24">
        <v>0.27999997138977001</v>
      </c>
      <c r="B24">
        <v>7.6804265975952104</v>
      </c>
      <c r="C24">
        <f t="shared" si="0"/>
        <v>2.0930891554262156E-6</v>
      </c>
      <c r="E24" s="4" t="s">
        <v>28</v>
      </c>
      <c r="F24" s="5">
        <f>+(F23*0.1*1000000)/100</f>
        <v>5450.737795776633</v>
      </c>
    </row>
    <row r="25" spans="1:11" x14ac:dyDescent="0.25">
      <c r="A25">
        <v>0.29399996995925898</v>
      </c>
      <c r="B25">
        <v>7.6671161651611301</v>
      </c>
      <c r="C25">
        <f t="shared" si="0"/>
        <v>2.158533470258031E-6</v>
      </c>
    </row>
    <row r="26" spans="1:11" x14ac:dyDescent="0.25">
      <c r="A26">
        <v>0.307999968528747</v>
      </c>
      <c r="B26">
        <v>7.6534180641174299</v>
      </c>
      <c r="C26">
        <f t="shared" si="0"/>
        <v>2.2280119046866787E-6</v>
      </c>
    </row>
    <row r="27" spans="1:11" x14ac:dyDescent="0.25">
      <c r="A27">
        <v>0.32199996709823597</v>
      </c>
      <c r="B27">
        <v>7.6382312774658203</v>
      </c>
      <c r="C27">
        <f t="shared" si="0"/>
        <v>2.3076232394768282E-6</v>
      </c>
    </row>
    <row r="28" spans="1:11" x14ac:dyDescent="0.25">
      <c r="A28">
        <v>0.335999965667724</v>
      </c>
      <c r="B28">
        <v>7.6239824295043901</v>
      </c>
      <c r="C28">
        <f t="shared" si="0"/>
        <v>2.38492295538668E-6</v>
      </c>
    </row>
    <row r="29" spans="1:11" x14ac:dyDescent="0.25">
      <c r="A29">
        <v>0.34999996423721302</v>
      </c>
      <c r="B29">
        <v>7.6108026504516602</v>
      </c>
      <c r="C29">
        <f t="shared" si="0"/>
        <v>2.458752000143639E-6</v>
      </c>
    </row>
    <row r="30" spans="1:11" x14ac:dyDescent="0.25">
      <c r="A30">
        <v>0.36399996280670099</v>
      </c>
      <c r="B30">
        <v>7.5974321365356401</v>
      </c>
      <c r="C30">
        <f t="shared" si="0"/>
        <v>2.5359800052869639E-6</v>
      </c>
    </row>
    <row r="31" spans="1:11" x14ac:dyDescent="0.25">
      <c r="A31">
        <v>0.37799996137619002</v>
      </c>
      <c r="B31">
        <v>7.5870509147643999</v>
      </c>
      <c r="C31">
        <f t="shared" si="0"/>
        <v>2.5976917992221244E-6</v>
      </c>
    </row>
    <row r="32" spans="1:11" x14ac:dyDescent="0.25">
      <c r="A32">
        <v>0.39199995994567799</v>
      </c>
      <c r="B32">
        <v>7.5766425132751403</v>
      </c>
      <c r="C32">
        <f t="shared" si="0"/>
        <v>2.6610718010431914E-6</v>
      </c>
    </row>
    <row r="33" spans="1:3" x14ac:dyDescent="0.25">
      <c r="A33">
        <v>0.40599995851516701</v>
      </c>
      <c r="B33">
        <v>7.5659904479980398</v>
      </c>
      <c r="C33">
        <f t="shared" si="0"/>
        <v>2.7275280005457392E-6</v>
      </c>
    </row>
    <row r="34" spans="1:3" x14ac:dyDescent="0.25">
      <c r="A34">
        <v>0.41999995708465498</v>
      </c>
      <c r="B34">
        <v>7.5542011260986301</v>
      </c>
      <c r="C34">
        <f t="shared" si="0"/>
        <v>2.8029741383162843E-6</v>
      </c>
    </row>
    <row r="35" spans="1:3" x14ac:dyDescent="0.25">
      <c r="A35">
        <v>0.43399995565414401</v>
      </c>
      <c r="B35">
        <v>7.5420603752136204</v>
      </c>
      <c r="C35">
        <f t="shared" si="0"/>
        <v>2.8828389710353126E-6</v>
      </c>
    </row>
    <row r="36" spans="1:3" x14ac:dyDescent="0.25">
      <c r="A36">
        <v>0.44799995422363198</v>
      </c>
      <c r="B36">
        <v>7.5438122749328604</v>
      </c>
      <c r="C36">
        <f t="shared" si="0"/>
        <v>2.8716335515166897E-6</v>
      </c>
    </row>
    <row r="37" spans="1:3" x14ac:dyDescent="0.25">
      <c r="A37">
        <v>0.461999952793121</v>
      </c>
      <c r="B37">
        <v>7.55749082565307</v>
      </c>
      <c r="C37">
        <f t="shared" si="0"/>
        <v>2.7829858231769314E-6</v>
      </c>
    </row>
    <row r="38" spans="1:3" x14ac:dyDescent="0.25">
      <c r="A38">
        <v>0.47599995136260898</v>
      </c>
      <c r="B38">
        <v>7.5716910362243599</v>
      </c>
      <c r="C38">
        <f t="shared" si="0"/>
        <v>2.6938369202395452E-6</v>
      </c>
    </row>
    <row r="39" spans="1:3" x14ac:dyDescent="0.25">
      <c r="A39">
        <v>0.489999949932098</v>
      </c>
      <c r="B39">
        <v>7.5188560485839799</v>
      </c>
      <c r="C39">
        <f t="shared" si="0"/>
        <v>3.0427536875620366E-6</v>
      </c>
    </row>
    <row r="40" spans="1:3" x14ac:dyDescent="0.25">
      <c r="A40">
        <v>0.50399994850158603</v>
      </c>
      <c r="B40">
        <v>7.50829982757568</v>
      </c>
      <c r="C40">
        <f t="shared" si="0"/>
        <v>3.1180531867141725E-6</v>
      </c>
    </row>
    <row r="41" spans="1:3" x14ac:dyDescent="0.25">
      <c r="A41">
        <v>0.517999947071075</v>
      </c>
      <c r="B41">
        <v>7.4975280761718697</v>
      </c>
      <c r="C41">
        <f t="shared" si="0"/>
        <v>3.1968021783238915E-6</v>
      </c>
    </row>
    <row r="42" spans="1:3" x14ac:dyDescent="0.25">
      <c r="A42">
        <v>0.53199994564056396</v>
      </c>
      <c r="B42">
        <v>7.4866237640380797</v>
      </c>
      <c r="C42">
        <f t="shared" si="0"/>
        <v>3.2785405407103766E-6</v>
      </c>
    </row>
    <row r="43" spans="1:3" x14ac:dyDescent="0.25">
      <c r="A43">
        <v>0.54599994421005205</v>
      </c>
      <c r="B43">
        <v>7.4782772064208896</v>
      </c>
      <c r="C43">
        <f t="shared" si="0"/>
        <v>3.3426244932546552E-6</v>
      </c>
    </row>
    <row r="44" spans="1:3" x14ac:dyDescent="0.25">
      <c r="A44">
        <v>0.55999994277954102</v>
      </c>
      <c r="B44">
        <v>7.4699635505676198</v>
      </c>
      <c r="C44">
        <f t="shared" si="0"/>
        <v>3.4077028216041047E-6</v>
      </c>
    </row>
    <row r="45" spans="1:3" x14ac:dyDescent="0.25">
      <c r="A45">
        <v>0.57399994134902899</v>
      </c>
      <c r="B45">
        <v>7.46496152877807</v>
      </c>
      <c r="C45">
        <f t="shared" si="0"/>
        <v>3.4476581256788839E-6</v>
      </c>
    </row>
    <row r="46" spans="1:3" x14ac:dyDescent="0.25">
      <c r="A46">
        <v>0.58799993991851796</v>
      </c>
      <c r="B46">
        <v>7.4609446525573704</v>
      </c>
      <c r="C46">
        <f t="shared" si="0"/>
        <v>3.480178504930758E-6</v>
      </c>
    </row>
    <row r="47" spans="1:3" x14ac:dyDescent="0.25">
      <c r="A47">
        <v>0.60199993848800604</v>
      </c>
      <c r="B47">
        <v>7.4549560546875</v>
      </c>
      <c r="C47">
        <f t="shared" si="0"/>
        <v>3.5289910730327223E-6</v>
      </c>
    </row>
    <row r="48" spans="1:3" x14ac:dyDescent="0.25">
      <c r="A48">
        <v>0.61599993705749501</v>
      </c>
      <c r="B48">
        <v>7.4596791267395002</v>
      </c>
      <c r="C48">
        <f t="shared" si="0"/>
        <v>3.4913060491767289E-6</v>
      </c>
    </row>
    <row r="49" spans="1:3" x14ac:dyDescent="0.25">
      <c r="A49">
        <v>0.62999993562698298</v>
      </c>
      <c r="B49">
        <v>7.4737830162048304</v>
      </c>
      <c r="C49">
        <f t="shared" si="0"/>
        <v>3.3802160240197528E-6</v>
      </c>
    </row>
    <row r="50" spans="1:3" x14ac:dyDescent="0.25">
      <c r="A50">
        <v>0.64399993419647195</v>
      </c>
      <c r="B50">
        <v>7.4875693321228001</v>
      </c>
      <c r="C50">
        <f t="shared" si="0"/>
        <v>3.2750546900358828E-6</v>
      </c>
    </row>
    <row r="51" spans="1:3" x14ac:dyDescent="0.25">
      <c r="A51">
        <v>0.65799993276596003</v>
      </c>
      <c r="B51">
        <v>7.4521026611328098</v>
      </c>
      <c r="C51">
        <f t="shared" si="0"/>
        <v>3.5542308784079618E-6</v>
      </c>
    </row>
    <row r="52" spans="1:3" x14ac:dyDescent="0.25">
      <c r="A52">
        <v>0.671999931335449</v>
      </c>
      <c r="B52">
        <v>7.4420051574706996</v>
      </c>
      <c r="C52">
        <f t="shared" si="0"/>
        <v>3.6383421592399213E-6</v>
      </c>
    </row>
    <row r="53" spans="1:3" x14ac:dyDescent="0.25">
      <c r="A53">
        <v>0.68599992990493697</v>
      </c>
      <c r="B53">
        <v>7.4326100349426198</v>
      </c>
      <c r="C53">
        <f t="shared" si="0"/>
        <v>3.7184252249040712E-6</v>
      </c>
    </row>
    <row r="54" spans="1:3" x14ac:dyDescent="0.25">
      <c r="A54">
        <v>0.69999992847442605</v>
      </c>
      <c r="B54">
        <v>7.4217367172241202</v>
      </c>
      <c r="C54">
        <f t="shared" si="0"/>
        <v>3.81322782172117E-6</v>
      </c>
    </row>
    <row r="55" spans="1:3" x14ac:dyDescent="0.25">
      <c r="A55">
        <v>0.71399992704391402</v>
      </c>
      <c r="B55">
        <v>7.4098634719848597</v>
      </c>
      <c r="C55">
        <f t="shared" si="0"/>
        <v>3.9194612275308393E-6</v>
      </c>
    </row>
    <row r="56" spans="1:3" x14ac:dyDescent="0.25">
      <c r="A56">
        <v>0.72799992561340299</v>
      </c>
      <c r="B56">
        <v>7.4013528823852504</v>
      </c>
      <c r="C56">
        <f t="shared" si="0"/>
        <v>3.997581514774688E-6</v>
      </c>
    </row>
    <row r="57" spans="1:3" x14ac:dyDescent="0.25">
      <c r="A57">
        <v>0.74199992418289096</v>
      </c>
      <c r="B57">
        <v>7.3944454193115199</v>
      </c>
      <c r="C57">
        <f t="shared" si="0"/>
        <v>4.0622359838549811E-6</v>
      </c>
    </row>
    <row r="58" spans="1:3" x14ac:dyDescent="0.25">
      <c r="A58">
        <v>0.75599992275238004</v>
      </c>
      <c r="B58">
        <v>7.3911213874816797</v>
      </c>
      <c r="C58">
        <f t="shared" si="0"/>
        <v>4.0940159463131423E-6</v>
      </c>
    </row>
    <row r="59" spans="1:3" x14ac:dyDescent="0.25">
      <c r="A59">
        <v>0.76999992132186801</v>
      </c>
      <c r="B59">
        <v>7.3884253501892001</v>
      </c>
      <c r="C59">
        <f t="shared" si="0"/>
        <v>4.1200824587911502E-6</v>
      </c>
    </row>
    <row r="60" spans="1:3" x14ac:dyDescent="0.25">
      <c r="A60">
        <v>0.78399991989135698</v>
      </c>
      <c r="B60">
        <v>7.3819050788879297</v>
      </c>
      <c r="C60">
        <f t="shared" si="0"/>
        <v>4.1829869701616414E-6</v>
      </c>
    </row>
    <row r="61" spans="1:3" x14ac:dyDescent="0.25">
      <c r="A61">
        <v>0.79799991846084595</v>
      </c>
      <c r="B61">
        <v>7.37821340560913</v>
      </c>
      <c r="C61">
        <f t="shared" si="0"/>
        <v>4.2192815749052807E-6</v>
      </c>
    </row>
    <row r="62" spans="1:3" x14ac:dyDescent="0.25">
      <c r="A62">
        <v>0.81199991703033403</v>
      </c>
      <c r="B62">
        <v>7.3729319572448704</v>
      </c>
      <c r="C62">
        <f t="shared" si="0"/>
        <v>4.271498647177635E-6</v>
      </c>
    </row>
    <row r="63" spans="1:3" x14ac:dyDescent="0.25">
      <c r="A63">
        <v>0.825999915599823</v>
      </c>
      <c r="B63">
        <v>7.3665442466735804</v>
      </c>
      <c r="C63">
        <f t="shared" si="0"/>
        <v>4.3353911929133517E-6</v>
      </c>
    </row>
    <row r="64" spans="1:3" x14ac:dyDescent="0.25">
      <c r="A64">
        <v>0.83999991416931097</v>
      </c>
      <c r="B64">
        <v>7.3601980209350497</v>
      </c>
      <c r="C64">
        <f t="shared" si="0"/>
        <v>4.399819049405809E-6</v>
      </c>
    </row>
    <row r="65" spans="1:3" x14ac:dyDescent="0.25">
      <c r="A65">
        <v>0.85399991273880005</v>
      </c>
      <c r="B65">
        <v>7.3533725738525302</v>
      </c>
      <c r="C65">
        <f t="shared" si="0"/>
        <v>4.470134116176433E-6</v>
      </c>
    </row>
    <row r="66" spans="1:3" x14ac:dyDescent="0.25">
      <c r="A66">
        <v>0.86799991130828802</v>
      </c>
      <c r="B66">
        <v>7.3484597206115696</v>
      </c>
      <c r="C66">
        <f t="shared" si="0"/>
        <v>4.5216161231453146E-6</v>
      </c>
    </row>
    <row r="67" spans="1:3" x14ac:dyDescent="0.25">
      <c r="A67">
        <v>0.88199990987777699</v>
      </c>
      <c r="B67">
        <v>7.3436503410339302</v>
      </c>
      <c r="C67">
        <f t="shared" si="0"/>
        <v>4.5726013705136024E-6</v>
      </c>
    </row>
    <row r="68" spans="1:3" x14ac:dyDescent="0.25">
      <c r="A68">
        <v>0.89599990844726496</v>
      </c>
      <c r="B68">
        <v>7.3367037773132298</v>
      </c>
      <c r="C68">
        <f t="shared" si="0"/>
        <v>4.6469732378281119E-6</v>
      </c>
    </row>
    <row r="69" spans="1:3" x14ac:dyDescent="0.25">
      <c r="A69">
        <v>0.90999990701675404</v>
      </c>
      <c r="B69">
        <v>7.3337278366088796</v>
      </c>
      <c r="C69">
        <f t="shared" ref="C69:C132" si="1">(10^-B69)*(100+A69)</f>
        <v>4.679574536853578E-6</v>
      </c>
    </row>
    <row r="70" spans="1:3" x14ac:dyDescent="0.25">
      <c r="A70">
        <v>0.92399990558624201</v>
      </c>
      <c r="B70">
        <v>7.3322682380676198</v>
      </c>
      <c r="C70">
        <f t="shared" si="1"/>
        <v>4.6959797604568894E-6</v>
      </c>
    </row>
    <row r="71" spans="1:3" x14ac:dyDescent="0.25">
      <c r="A71">
        <v>0.93799990415573098</v>
      </c>
      <c r="B71">
        <v>7.32684230804443</v>
      </c>
      <c r="C71">
        <f t="shared" si="1"/>
        <v>4.7556774016168752E-6</v>
      </c>
    </row>
    <row r="72" spans="1:3" x14ac:dyDescent="0.25">
      <c r="A72">
        <v>0.95199990272521895</v>
      </c>
      <c r="B72">
        <v>7.3247609138488698</v>
      </c>
      <c r="C72">
        <f t="shared" si="1"/>
        <v>4.779186880625321E-6</v>
      </c>
    </row>
    <row r="73" spans="1:3" x14ac:dyDescent="0.25">
      <c r="A73">
        <v>0.96599990129470803</v>
      </c>
      <c r="B73">
        <v>7.3234300613403303</v>
      </c>
      <c r="C73">
        <f t="shared" si="1"/>
        <v>4.79451949952245E-6</v>
      </c>
    </row>
    <row r="74" spans="1:3" x14ac:dyDescent="0.25">
      <c r="A74">
        <v>0.979999899864196</v>
      </c>
      <c r="B74">
        <v>7.3183526992797798</v>
      </c>
      <c r="C74">
        <f t="shared" si="1"/>
        <v>4.8515740746541848E-6</v>
      </c>
    </row>
    <row r="75" spans="1:3" x14ac:dyDescent="0.25">
      <c r="A75">
        <v>0.99399989843368497</v>
      </c>
      <c r="B75">
        <v>7.3116345405578604</v>
      </c>
      <c r="C75">
        <f t="shared" si="1"/>
        <v>4.9278903106160044E-6</v>
      </c>
    </row>
    <row r="76" spans="1:3" x14ac:dyDescent="0.25">
      <c r="A76">
        <v>1.0079998970031701</v>
      </c>
      <c r="B76">
        <v>7.3033685684204102</v>
      </c>
      <c r="C76">
        <f t="shared" si="1"/>
        <v>5.023277877614037E-6</v>
      </c>
    </row>
    <row r="77" spans="1:3" x14ac:dyDescent="0.25">
      <c r="A77">
        <v>1.02199983596801</v>
      </c>
      <c r="B77">
        <v>7.2961559295654297</v>
      </c>
      <c r="C77">
        <f t="shared" si="1"/>
        <v>5.1081075423921922E-6</v>
      </c>
    </row>
    <row r="78" spans="1:3" x14ac:dyDescent="0.25">
      <c r="A78">
        <v>1.03599989414215</v>
      </c>
      <c r="B78">
        <v>7.2904186248779297</v>
      </c>
      <c r="C78">
        <f t="shared" si="1"/>
        <v>5.1767538946009986E-6</v>
      </c>
    </row>
    <row r="79" spans="1:3" x14ac:dyDescent="0.25">
      <c r="A79">
        <v>1.04999995231628</v>
      </c>
      <c r="B79">
        <v>7.2858605384826598</v>
      </c>
      <c r="C79">
        <f t="shared" si="1"/>
        <v>5.232096906135587E-6</v>
      </c>
    </row>
    <row r="80" spans="1:3" x14ac:dyDescent="0.25">
      <c r="A80">
        <v>1.0639998912811199</v>
      </c>
      <c r="B80">
        <v>7.2798266410827601</v>
      </c>
      <c r="C80">
        <f t="shared" si="1"/>
        <v>5.3060317159809612E-6</v>
      </c>
    </row>
    <row r="81" spans="1:3" x14ac:dyDescent="0.25">
      <c r="A81">
        <v>1.0779998302459699</v>
      </c>
      <c r="B81">
        <v>7.2719254493713299</v>
      </c>
      <c r="C81">
        <f t="shared" si="1"/>
        <v>5.4041972232100164E-6</v>
      </c>
    </row>
    <row r="82" spans="1:3" x14ac:dyDescent="0.25">
      <c r="A82">
        <v>1.0919998884201001</v>
      </c>
      <c r="B82">
        <v>7.2639632225036603</v>
      </c>
      <c r="C82">
        <f t="shared" si="1"/>
        <v>5.5049523699155225E-6</v>
      </c>
    </row>
    <row r="83" spans="1:3" x14ac:dyDescent="0.25">
      <c r="A83">
        <v>1.1059999465942301</v>
      </c>
      <c r="B83">
        <v>7.2571759223937899</v>
      </c>
      <c r="C83">
        <f t="shared" si="1"/>
        <v>5.5924357893031575E-6</v>
      </c>
    </row>
    <row r="84" spans="1:3" x14ac:dyDescent="0.25">
      <c r="A84">
        <v>1.11999988555908</v>
      </c>
      <c r="B84">
        <v>7.2494645118713299</v>
      </c>
      <c r="C84">
        <f t="shared" si="1"/>
        <v>5.6934111635224926E-6</v>
      </c>
    </row>
    <row r="85" spans="1:3" x14ac:dyDescent="0.25">
      <c r="A85">
        <v>1.13399982452392</v>
      </c>
      <c r="B85">
        <v>7.2435445785522399</v>
      </c>
      <c r="C85">
        <f t="shared" si="1"/>
        <v>5.7723493232814081E-6</v>
      </c>
    </row>
    <row r="86" spans="1:3" x14ac:dyDescent="0.25">
      <c r="A86">
        <v>1.14799988269805</v>
      </c>
      <c r="B86">
        <v>7.2411236763000399</v>
      </c>
      <c r="C86">
        <f t="shared" si="1"/>
        <v>5.8054197101899082E-6</v>
      </c>
    </row>
    <row r="87" spans="1:3" x14ac:dyDescent="0.25">
      <c r="A87">
        <v>1.1619999408721899</v>
      </c>
      <c r="B87">
        <v>7.2382082939147896</v>
      </c>
      <c r="C87">
        <f t="shared" si="1"/>
        <v>5.8453310536239698E-6</v>
      </c>
    </row>
    <row r="88" spans="1:3" x14ac:dyDescent="0.25">
      <c r="A88">
        <v>1.1759998798370299</v>
      </c>
      <c r="B88">
        <v>7.2380576133728001</v>
      </c>
      <c r="C88">
        <f t="shared" si="1"/>
        <v>5.8481686945576868E-6</v>
      </c>
    </row>
    <row r="89" spans="1:3" x14ac:dyDescent="0.25">
      <c r="A89">
        <v>1.1899998188018699</v>
      </c>
      <c r="B89">
        <v>7.2332735061645499</v>
      </c>
      <c r="C89">
        <f t="shared" si="1"/>
        <v>5.9137653586719884E-6</v>
      </c>
    </row>
    <row r="90" spans="1:3" x14ac:dyDescent="0.25">
      <c r="A90">
        <v>1.2039998769760101</v>
      </c>
      <c r="B90">
        <v>7.2295598983764604</v>
      </c>
      <c r="C90">
        <f t="shared" si="1"/>
        <v>5.9653754015116838E-6</v>
      </c>
    </row>
    <row r="91" spans="1:3" x14ac:dyDescent="0.25">
      <c r="A91">
        <v>1.21799993515014</v>
      </c>
      <c r="B91">
        <v>7.2259669303893999</v>
      </c>
      <c r="C91">
        <f t="shared" si="1"/>
        <v>6.0157644237271713E-6</v>
      </c>
    </row>
    <row r="92" spans="1:3" x14ac:dyDescent="0.25">
      <c r="A92">
        <v>1.23199987411499</v>
      </c>
      <c r="B92">
        <v>7.2233285903930602</v>
      </c>
      <c r="C92">
        <f t="shared" si="1"/>
        <v>6.0532585786602601E-6</v>
      </c>
    </row>
    <row r="93" spans="1:3" x14ac:dyDescent="0.25">
      <c r="A93">
        <v>1.24599981307983</v>
      </c>
      <c r="B93">
        <v>7.2205576896667401</v>
      </c>
      <c r="C93">
        <f t="shared" si="1"/>
        <v>6.0928457549458581E-6</v>
      </c>
    </row>
    <row r="94" spans="1:3" x14ac:dyDescent="0.25">
      <c r="A94">
        <v>1.25999987125396</v>
      </c>
      <c r="B94">
        <v>7.2159676551818803</v>
      </c>
      <c r="C94">
        <f t="shared" si="1"/>
        <v>6.1584336578310823E-6</v>
      </c>
    </row>
    <row r="95" spans="1:3" x14ac:dyDescent="0.25">
      <c r="A95">
        <v>1.2739999294280999</v>
      </c>
      <c r="B95">
        <v>7.2098245620727504</v>
      </c>
      <c r="C95">
        <f t="shared" si="1"/>
        <v>6.2470272617163918E-6</v>
      </c>
    </row>
    <row r="96" spans="1:3" x14ac:dyDescent="0.25">
      <c r="A96">
        <v>1.2879998683929399</v>
      </c>
      <c r="B96">
        <v>7.2019939422607404</v>
      </c>
      <c r="C96">
        <f t="shared" si="1"/>
        <v>6.3615662299166205E-6</v>
      </c>
    </row>
    <row r="97" spans="1:3" x14ac:dyDescent="0.25">
      <c r="A97">
        <v>1.3019998073577801</v>
      </c>
      <c r="B97">
        <v>7.19597959518432</v>
      </c>
      <c r="C97">
        <f t="shared" si="1"/>
        <v>6.451169067108376E-6</v>
      </c>
    </row>
    <row r="98" spans="1:3" x14ac:dyDescent="0.25">
      <c r="A98">
        <v>1.3159998655319201</v>
      </c>
      <c r="B98">
        <v>7.1910238265991202</v>
      </c>
      <c r="C98">
        <f t="shared" si="1"/>
        <v>6.5261072716748378E-6</v>
      </c>
    </row>
    <row r="99" spans="1:3" x14ac:dyDescent="0.25">
      <c r="A99">
        <v>1.32999992370605</v>
      </c>
      <c r="B99">
        <v>7.18426084518432</v>
      </c>
      <c r="C99">
        <f t="shared" si="1"/>
        <v>6.6294453850563093E-6</v>
      </c>
    </row>
    <row r="100" spans="1:3" x14ac:dyDescent="0.25">
      <c r="A100">
        <v>1.34399986267089</v>
      </c>
      <c r="B100">
        <v>7.17671346664428</v>
      </c>
      <c r="C100">
        <f t="shared" si="1"/>
        <v>6.7465939800201082E-6</v>
      </c>
    </row>
    <row r="101" spans="1:3" x14ac:dyDescent="0.25">
      <c r="A101">
        <v>1.35799980163574</v>
      </c>
      <c r="B101">
        <v>7.1749958992004297</v>
      </c>
      <c r="C101">
        <f t="shared" si="1"/>
        <v>6.7742642317156827E-6</v>
      </c>
    </row>
    <row r="102" spans="1:3" x14ac:dyDescent="0.25">
      <c r="A102">
        <v>1.3719998598098699</v>
      </c>
      <c r="B102">
        <v>7.1722159385681099</v>
      </c>
      <c r="C102">
        <f t="shared" si="1"/>
        <v>6.8187077307244625E-6</v>
      </c>
    </row>
    <row r="103" spans="1:3" x14ac:dyDescent="0.25">
      <c r="A103">
        <v>1.3859999179839999</v>
      </c>
      <c r="B103">
        <v>7.1671791076660103</v>
      </c>
      <c r="C103">
        <f t="shared" si="1"/>
        <v>6.8992023232133803E-6</v>
      </c>
    </row>
    <row r="104" spans="1:3" x14ac:dyDescent="0.25">
      <c r="A104">
        <v>1.3999998569488501</v>
      </c>
      <c r="B104">
        <v>7.16127586364746</v>
      </c>
      <c r="C104">
        <f t="shared" si="1"/>
        <v>6.9945872312164735E-6</v>
      </c>
    </row>
    <row r="105" spans="1:3" x14ac:dyDescent="0.25">
      <c r="A105">
        <v>1.4139997959136901</v>
      </c>
      <c r="B105">
        <v>7.1545209884643501</v>
      </c>
      <c r="C105">
        <f t="shared" si="1"/>
        <v>7.1052100804746971E-6</v>
      </c>
    </row>
    <row r="106" spans="1:3" x14ac:dyDescent="0.25">
      <c r="A106">
        <v>1.42799985408782</v>
      </c>
      <c r="B106">
        <v>7.1490201950073198</v>
      </c>
      <c r="C106">
        <f t="shared" si="1"/>
        <v>7.1967707117245008E-6</v>
      </c>
    </row>
    <row r="107" spans="1:3" x14ac:dyDescent="0.25">
      <c r="A107">
        <v>1.44199991226196</v>
      </c>
      <c r="B107">
        <v>7.1477756500244096</v>
      </c>
      <c r="C107">
        <f t="shared" si="1"/>
        <v>7.2184200828587737E-6</v>
      </c>
    </row>
    <row r="108" spans="1:3" x14ac:dyDescent="0.25">
      <c r="A108">
        <v>1.4559998512268</v>
      </c>
      <c r="B108">
        <v>7.1490507125854403</v>
      </c>
      <c r="C108">
        <f t="shared" si="1"/>
        <v>7.1982516028647763E-6</v>
      </c>
    </row>
    <row r="109" spans="1:3" x14ac:dyDescent="0.25">
      <c r="A109">
        <v>1.4699997901916499</v>
      </c>
      <c r="B109">
        <v>7.1506872177123997</v>
      </c>
      <c r="C109">
        <f t="shared" si="1"/>
        <v>7.1721678000619298E-6</v>
      </c>
    </row>
    <row r="110" spans="1:3" x14ac:dyDescent="0.25">
      <c r="A110">
        <v>1.4839998483657799</v>
      </c>
      <c r="B110">
        <v>7.1516008377075098</v>
      </c>
      <c r="C110">
        <f t="shared" si="1"/>
        <v>7.158083138972939E-6</v>
      </c>
    </row>
    <row r="111" spans="1:3" x14ac:dyDescent="0.25">
      <c r="A111">
        <v>1.4979999065399101</v>
      </c>
      <c r="B111">
        <v>7.1576743125915501</v>
      </c>
      <c r="C111">
        <f t="shared" si="1"/>
        <v>7.0596500212673585E-6</v>
      </c>
    </row>
    <row r="112" spans="1:3" x14ac:dyDescent="0.25">
      <c r="A112">
        <v>1.5119998455047601</v>
      </c>
      <c r="B112">
        <v>7.1708283424377397</v>
      </c>
      <c r="C112">
        <f t="shared" si="1"/>
        <v>6.8499758643858305E-6</v>
      </c>
    </row>
    <row r="113" spans="1:3" x14ac:dyDescent="0.25">
      <c r="A113">
        <v>1.5259997844696001</v>
      </c>
      <c r="B113">
        <v>7.1843962669372496</v>
      </c>
      <c r="C113">
        <f t="shared" si="1"/>
        <v>6.6401976708006568E-6</v>
      </c>
    </row>
    <row r="114" spans="1:3" x14ac:dyDescent="0.25">
      <c r="A114">
        <v>1.53999984264373</v>
      </c>
      <c r="B114">
        <v>7.15917491912841</v>
      </c>
      <c r="C114">
        <f t="shared" si="1"/>
        <v>7.0382102993736584E-6</v>
      </c>
    </row>
    <row r="115" spans="1:3" x14ac:dyDescent="0.25">
      <c r="A115">
        <v>1.55399990081787</v>
      </c>
      <c r="B115">
        <v>7.15323686599731</v>
      </c>
      <c r="C115">
        <f t="shared" si="1"/>
        <v>7.1360875173186408E-6</v>
      </c>
    </row>
    <row r="116" spans="1:3" x14ac:dyDescent="0.25">
      <c r="A116">
        <v>1.56799983978271</v>
      </c>
      <c r="B116">
        <v>7.1486091613769496</v>
      </c>
      <c r="C116">
        <f t="shared" si="1"/>
        <v>7.2135282788499145E-6</v>
      </c>
    </row>
    <row r="117" spans="1:3" x14ac:dyDescent="0.25">
      <c r="A117">
        <v>1.5819997787475499</v>
      </c>
      <c r="B117">
        <v>7.1429643630981401</v>
      </c>
      <c r="C117">
        <f t="shared" si="1"/>
        <v>7.3089063147511855E-6</v>
      </c>
    </row>
    <row r="118" spans="1:3" x14ac:dyDescent="0.25">
      <c r="A118">
        <v>1.5959998369216899</v>
      </c>
      <c r="B118">
        <v>7.1527018547058097</v>
      </c>
      <c r="C118">
        <f t="shared" si="1"/>
        <v>7.1478388721439456E-6</v>
      </c>
    </row>
    <row r="119" spans="1:3" x14ac:dyDescent="0.25">
      <c r="A119">
        <v>1.6099998950958201</v>
      </c>
      <c r="B119">
        <v>7.1661210060119602</v>
      </c>
      <c r="C119">
        <f t="shared" si="1"/>
        <v>6.9313119467882073E-6</v>
      </c>
    </row>
    <row r="120" spans="1:3" x14ac:dyDescent="0.25">
      <c r="A120">
        <v>1.6239998340606601</v>
      </c>
      <c r="B120">
        <v>7.1466493606567303</v>
      </c>
      <c r="C120">
        <f t="shared" si="1"/>
        <v>7.2501488620253482E-6</v>
      </c>
    </row>
    <row r="121" spans="1:3" x14ac:dyDescent="0.25">
      <c r="A121">
        <v>1.63799977302551</v>
      </c>
      <c r="B121">
        <v>7.1404957771301198</v>
      </c>
      <c r="C121">
        <f t="shared" si="1"/>
        <v>7.354621592314202E-6</v>
      </c>
    </row>
    <row r="122" spans="1:3" x14ac:dyDescent="0.25">
      <c r="A122">
        <v>1.65199983119964</v>
      </c>
      <c r="B122">
        <v>7.1353354454040501</v>
      </c>
      <c r="C122">
        <f t="shared" si="1"/>
        <v>7.4435563706335113E-6</v>
      </c>
    </row>
    <row r="123" spans="1:3" x14ac:dyDescent="0.25">
      <c r="A123">
        <v>1.66599988937377</v>
      </c>
      <c r="B123">
        <v>7.1288022994995099</v>
      </c>
      <c r="C123">
        <f t="shared" si="1"/>
        <v>7.5574178807733465E-6</v>
      </c>
    </row>
    <row r="124" spans="1:3" x14ac:dyDescent="0.25">
      <c r="A124">
        <v>1.6799998283386199</v>
      </c>
      <c r="B124">
        <v>7.12243604660034</v>
      </c>
      <c r="C124">
        <f t="shared" si="1"/>
        <v>7.670072873573547E-6</v>
      </c>
    </row>
    <row r="125" spans="1:3" x14ac:dyDescent="0.25">
      <c r="A125">
        <v>1.6939997673034599</v>
      </c>
      <c r="B125">
        <v>7.1167545318603498</v>
      </c>
      <c r="C125">
        <f t="shared" si="1"/>
        <v>7.7721432615501562E-6</v>
      </c>
    </row>
    <row r="126" spans="1:3" x14ac:dyDescent="0.25">
      <c r="A126">
        <v>1.7079998254776001</v>
      </c>
      <c r="B126">
        <v>7.1113824844360298</v>
      </c>
      <c r="C126">
        <f t="shared" si="1"/>
        <v>7.8699618878227159E-6</v>
      </c>
    </row>
    <row r="127" spans="1:3" x14ac:dyDescent="0.25">
      <c r="A127">
        <v>1.7219998836517301</v>
      </c>
      <c r="B127">
        <v>7.1041774749755797</v>
      </c>
      <c r="C127">
        <f t="shared" si="1"/>
        <v>8.0027161846407896E-6</v>
      </c>
    </row>
    <row r="128" spans="1:3" x14ac:dyDescent="0.25">
      <c r="A128">
        <v>1.73599982261657</v>
      </c>
      <c r="B128">
        <v>7.0988492965698198</v>
      </c>
      <c r="C128">
        <f t="shared" si="1"/>
        <v>8.102617934468783E-6</v>
      </c>
    </row>
    <row r="129" spans="1:3" x14ac:dyDescent="0.25">
      <c r="A129">
        <v>1.74999976158142</v>
      </c>
      <c r="B129">
        <v>7.0961766242980904</v>
      </c>
      <c r="C129">
        <f t="shared" si="1"/>
        <v>8.1537575296168189E-6</v>
      </c>
    </row>
    <row r="130" spans="1:3" x14ac:dyDescent="0.25">
      <c r="A130">
        <v>1.76399981975555</v>
      </c>
      <c r="B130">
        <v>7.09293413162231</v>
      </c>
      <c r="C130">
        <f t="shared" si="1"/>
        <v>8.2159925521992356E-6</v>
      </c>
    </row>
    <row r="131" spans="1:3" x14ac:dyDescent="0.25">
      <c r="A131">
        <v>1.77799987792968</v>
      </c>
      <c r="B131">
        <v>7.0880331993103001</v>
      </c>
      <c r="C131">
        <f t="shared" si="1"/>
        <v>8.3103767445536534E-6</v>
      </c>
    </row>
    <row r="132" spans="1:3" x14ac:dyDescent="0.25">
      <c r="A132">
        <v>1.7919998168945299</v>
      </c>
      <c r="B132">
        <v>7.0815839767456001</v>
      </c>
      <c r="C132">
        <f t="shared" si="1"/>
        <v>8.4358659486024663E-6</v>
      </c>
    </row>
    <row r="133" spans="1:3" x14ac:dyDescent="0.25">
      <c r="A133">
        <v>1.8059997558593699</v>
      </c>
      <c r="B133">
        <v>7.0771346092224103</v>
      </c>
      <c r="C133">
        <f t="shared" ref="C133:C196" si="2">(10^-B133)*(100+A133)</f>
        <v>8.52390820125833E-6</v>
      </c>
    </row>
    <row r="134" spans="1:3" x14ac:dyDescent="0.25">
      <c r="A134">
        <v>1.8199998140335001</v>
      </c>
      <c r="B134">
        <v>7.0704159736633301</v>
      </c>
      <c r="C134">
        <f t="shared" si="2"/>
        <v>8.6579907651058133E-6</v>
      </c>
    </row>
    <row r="135" spans="1:3" x14ac:dyDescent="0.25">
      <c r="A135">
        <v>1.83399987220764</v>
      </c>
      <c r="B135">
        <v>7.0683608055114702</v>
      </c>
      <c r="C135">
        <f t="shared" si="2"/>
        <v>8.7002553047385839E-6</v>
      </c>
    </row>
    <row r="136" spans="1:3" x14ac:dyDescent="0.25">
      <c r="A136">
        <v>1.84799981117248</v>
      </c>
      <c r="B136">
        <v>7.0661721229553196</v>
      </c>
      <c r="C136">
        <f t="shared" si="2"/>
        <v>8.7454141603444323E-6</v>
      </c>
    </row>
    <row r="137" spans="1:3" x14ac:dyDescent="0.25">
      <c r="A137">
        <v>1.86199975013732</v>
      </c>
      <c r="B137">
        <v>7.0621895790100098</v>
      </c>
      <c r="C137">
        <f t="shared" si="2"/>
        <v>8.8271929338777705E-6</v>
      </c>
    </row>
    <row r="138" spans="1:3" x14ac:dyDescent="0.25">
      <c r="A138">
        <v>1.87599980831146</v>
      </c>
      <c r="B138">
        <v>7.0586585998535103</v>
      </c>
      <c r="C138">
        <f t="shared" si="2"/>
        <v>8.9004770372219355E-6</v>
      </c>
    </row>
    <row r="139" spans="1:3" x14ac:dyDescent="0.25">
      <c r="A139">
        <v>1.8899998664855899</v>
      </c>
      <c r="B139">
        <v>7.0552725791931099</v>
      </c>
      <c r="C139">
        <f t="shared" si="2"/>
        <v>8.9713744232926612E-6</v>
      </c>
    </row>
    <row r="140" spans="1:3" x14ac:dyDescent="0.25">
      <c r="A140">
        <v>1.9039998054504299</v>
      </c>
      <c r="B140">
        <v>7.0513315200805602</v>
      </c>
      <c r="C140">
        <f t="shared" si="2"/>
        <v>9.0544007096972284E-6</v>
      </c>
    </row>
    <row r="141" spans="1:3" x14ac:dyDescent="0.25">
      <c r="A141">
        <v>1.9179997444152801</v>
      </c>
      <c r="B141">
        <v>7.0494618415832502</v>
      </c>
      <c r="C141">
        <f t="shared" si="2"/>
        <v>9.0947140742828967E-6</v>
      </c>
    </row>
    <row r="142" spans="1:3" x14ac:dyDescent="0.25">
      <c r="A142">
        <v>1.9319998025894101</v>
      </c>
      <c r="B142">
        <v>7.0487976074218697</v>
      </c>
      <c r="C142">
        <f t="shared" si="2"/>
        <v>9.1098858949637038E-6</v>
      </c>
    </row>
    <row r="143" spans="1:3" x14ac:dyDescent="0.25">
      <c r="A143">
        <v>1.94599986076354</v>
      </c>
      <c r="B143">
        <v>7.0488896369934002</v>
      </c>
      <c r="C143">
        <f t="shared" si="2"/>
        <v>9.1092066114630834E-6</v>
      </c>
    </row>
    <row r="144" spans="1:3" x14ac:dyDescent="0.25">
      <c r="A144">
        <v>1.95999979972839</v>
      </c>
      <c r="B144">
        <v>7.0470204353332502</v>
      </c>
      <c r="C144">
        <f t="shared" si="2"/>
        <v>9.1497534272721108E-6</v>
      </c>
    </row>
    <row r="145" spans="1:3" x14ac:dyDescent="0.25">
      <c r="A145">
        <v>1.97399973869323</v>
      </c>
      <c r="B145">
        <v>7.0432014465331996</v>
      </c>
      <c r="C145">
        <f t="shared" si="2"/>
        <v>9.2318344414902501E-6</v>
      </c>
    </row>
    <row r="146" spans="1:3" x14ac:dyDescent="0.25">
      <c r="A146">
        <v>1.9879997968673699</v>
      </c>
      <c r="B146">
        <v>7.0384759902954102</v>
      </c>
      <c r="C146">
        <f t="shared" si="2"/>
        <v>9.3341136430630173E-6</v>
      </c>
    </row>
    <row r="147" spans="1:3" x14ac:dyDescent="0.25">
      <c r="A147">
        <v>2.0019998550414999</v>
      </c>
      <c r="B147">
        <v>7.0361828804016104</v>
      </c>
      <c r="C147">
        <f t="shared" si="2"/>
        <v>9.3848169515570289E-6</v>
      </c>
    </row>
    <row r="148" spans="1:3" x14ac:dyDescent="0.25">
      <c r="A148">
        <v>2.0159997940063401</v>
      </c>
      <c r="B148">
        <v>7.0323843955993599</v>
      </c>
      <c r="C148">
        <f t="shared" si="2"/>
        <v>9.4685591067360335E-6</v>
      </c>
    </row>
    <row r="149" spans="1:3" x14ac:dyDescent="0.25">
      <c r="A149">
        <v>2.0299997329711901</v>
      </c>
      <c r="B149">
        <v>7.0280513763427699</v>
      </c>
      <c r="C149">
        <f t="shared" si="2"/>
        <v>9.5648135625487725E-6</v>
      </c>
    </row>
    <row r="150" spans="1:3" x14ac:dyDescent="0.25">
      <c r="A150">
        <v>2.0439996719360298</v>
      </c>
      <c r="B150">
        <v>7.0240383148193297</v>
      </c>
      <c r="C150">
        <f t="shared" si="2"/>
        <v>9.6549306326056148E-6</v>
      </c>
    </row>
    <row r="151" spans="1:3" x14ac:dyDescent="0.25">
      <c r="A151">
        <v>2.05799984931945</v>
      </c>
      <c r="B151">
        <v>7.0176825523376403</v>
      </c>
      <c r="C151">
        <f t="shared" si="2"/>
        <v>9.7986106306058923E-6</v>
      </c>
    </row>
    <row r="152" spans="1:3" x14ac:dyDescent="0.25">
      <c r="A152">
        <v>2.0719997882843</v>
      </c>
      <c r="B152">
        <v>7.0132255554199201</v>
      </c>
      <c r="C152">
        <f t="shared" si="2"/>
        <v>9.9010457690066442E-6</v>
      </c>
    </row>
    <row r="153" spans="1:3" x14ac:dyDescent="0.25">
      <c r="A153">
        <v>2.0859997272491402</v>
      </c>
      <c r="B153">
        <v>7.0083956718444798</v>
      </c>
      <c r="C153">
        <f t="shared" si="2"/>
        <v>1.0013145210303509E-5</v>
      </c>
    </row>
    <row r="154" spans="1:3" x14ac:dyDescent="0.25">
      <c r="A154">
        <v>2.0999999046325599</v>
      </c>
      <c r="B154">
        <v>7.0044441223144496</v>
      </c>
      <c r="C154">
        <f t="shared" si="2"/>
        <v>1.0106054113531382E-5</v>
      </c>
    </row>
    <row r="155" spans="1:3" x14ac:dyDescent="0.25">
      <c r="A155">
        <v>2.1139998435974099</v>
      </c>
      <c r="B155">
        <v>6.9996047019958496</v>
      </c>
      <c r="C155">
        <f t="shared" si="2"/>
        <v>1.0220698706323702E-5</v>
      </c>
    </row>
    <row r="156" spans="1:3" x14ac:dyDescent="0.25">
      <c r="A156">
        <v>2.1279997825622501</v>
      </c>
      <c r="B156">
        <v>6.9950971603393501</v>
      </c>
      <c r="C156">
        <f t="shared" si="2"/>
        <v>1.0328747623078891E-5</v>
      </c>
    </row>
    <row r="157" spans="1:3" x14ac:dyDescent="0.25">
      <c r="A157">
        <v>2.1419997215270898</v>
      </c>
      <c r="B157">
        <v>6.98860740661621</v>
      </c>
      <c r="C157">
        <f t="shared" si="2"/>
        <v>1.0485688442713594E-5</v>
      </c>
    </row>
    <row r="158" spans="1:3" x14ac:dyDescent="0.25">
      <c r="A158">
        <v>2.1559996604919398</v>
      </c>
      <c r="B158">
        <v>6.9829640388488698</v>
      </c>
      <c r="C158">
        <f t="shared" si="2"/>
        <v>1.0624288103730002E-5</v>
      </c>
    </row>
    <row r="159" spans="1:3" x14ac:dyDescent="0.25">
      <c r="A159">
        <v>2.16999983787536</v>
      </c>
      <c r="B159">
        <v>6.9773397445678702</v>
      </c>
      <c r="C159">
        <f t="shared" si="2"/>
        <v>1.0764246837703638E-5</v>
      </c>
    </row>
    <row r="160" spans="1:3" x14ac:dyDescent="0.25">
      <c r="A160">
        <v>2.18399977684021</v>
      </c>
      <c r="B160">
        <v>6.9719963073730398</v>
      </c>
      <c r="C160">
        <f t="shared" si="2"/>
        <v>1.0898998450674322E-5</v>
      </c>
    </row>
    <row r="161" spans="1:3" x14ac:dyDescent="0.25">
      <c r="A161">
        <v>2.1979997158050502</v>
      </c>
      <c r="B161">
        <v>6.9665594100952104</v>
      </c>
      <c r="C161">
        <f t="shared" si="2"/>
        <v>1.1037811816177193E-5</v>
      </c>
    </row>
    <row r="162" spans="1:3" x14ac:dyDescent="0.25">
      <c r="A162">
        <v>2.2119998931884699</v>
      </c>
      <c r="B162">
        <v>6.9612050056457502</v>
      </c>
      <c r="C162">
        <f t="shared" si="2"/>
        <v>1.1176269874552824E-5</v>
      </c>
    </row>
    <row r="163" spans="1:3" x14ac:dyDescent="0.25">
      <c r="A163">
        <v>2.2259998321533199</v>
      </c>
      <c r="B163">
        <v>6.9575734138488698</v>
      </c>
      <c r="C163">
        <f t="shared" si="2"/>
        <v>1.1271661891642419E-5</v>
      </c>
    </row>
    <row r="164" spans="1:3" x14ac:dyDescent="0.25">
      <c r="A164">
        <v>2.2399997711181601</v>
      </c>
      <c r="B164">
        <v>6.9555544853210396</v>
      </c>
      <c r="C164">
        <f t="shared" si="2"/>
        <v>1.1325733924296866E-5</v>
      </c>
    </row>
    <row r="165" spans="1:3" x14ac:dyDescent="0.25">
      <c r="A165">
        <v>2.2539997100829998</v>
      </c>
      <c r="B165">
        <v>6.9521675109863201</v>
      </c>
      <c r="C165">
        <f t="shared" si="2"/>
        <v>1.1415969338058019E-5</v>
      </c>
    </row>
    <row r="166" spans="1:3" x14ac:dyDescent="0.25">
      <c r="A166">
        <v>2.2679996490478498</v>
      </c>
      <c r="B166">
        <v>6.9507117271423304</v>
      </c>
      <c r="C166">
        <f t="shared" si="2"/>
        <v>1.1455868878205343E-5</v>
      </c>
    </row>
    <row r="167" spans="1:3" x14ac:dyDescent="0.25">
      <c r="A167">
        <v>2.28199982643127</v>
      </c>
      <c r="B167">
        <v>6.9501132965087802</v>
      </c>
      <c r="C167">
        <f t="shared" si="2"/>
        <v>1.1473235665714555E-5</v>
      </c>
    </row>
    <row r="168" spans="1:3" x14ac:dyDescent="0.25">
      <c r="A168">
        <v>2.2959997653961102</v>
      </c>
      <c r="B168">
        <v>6.9480490684509197</v>
      </c>
      <c r="C168">
        <f t="shared" si="2"/>
        <v>1.1529476348030501E-5</v>
      </c>
    </row>
    <row r="169" spans="1:3" x14ac:dyDescent="0.25">
      <c r="A169">
        <v>2.3099997043609601</v>
      </c>
      <c r="B169">
        <v>6.9446964263915998</v>
      </c>
      <c r="C169">
        <f t="shared" si="2"/>
        <v>1.1620415501019125E-5</v>
      </c>
    </row>
    <row r="170" spans="1:3" x14ac:dyDescent="0.25">
      <c r="A170">
        <v>2.3239998817443799</v>
      </c>
      <c r="B170">
        <v>6.9392805099487296</v>
      </c>
      <c r="C170">
        <f t="shared" si="2"/>
        <v>1.1767846602122327E-5</v>
      </c>
    </row>
    <row r="171" spans="1:3" x14ac:dyDescent="0.25">
      <c r="A171">
        <v>2.3379998207092201</v>
      </c>
      <c r="B171">
        <v>6.9348344802856401</v>
      </c>
      <c r="C171">
        <f t="shared" si="2"/>
        <v>1.189056371003449E-5</v>
      </c>
    </row>
    <row r="172" spans="1:3" x14ac:dyDescent="0.25">
      <c r="A172">
        <v>2.35199975967407</v>
      </c>
      <c r="B172">
        <v>6.9309453964233398</v>
      </c>
      <c r="C172">
        <f t="shared" si="2"/>
        <v>1.1999162529735721E-5</v>
      </c>
    </row>
    <row r="173" spans="1:3" x14ac:dyDescent="0.25">
      <c r="A173">
        <v>2.3659996986389098</v>
      </c>
      <c r="B173">
        <v>6.92740726470947</v>
      </c>
      <c r="C173">
        <f t="shared" si="2"/>
        <v>1.2098971880300555E-5</v>
      </c>
    </row>
    <row r="174" spans="1:3" x14ac:dyDescent="0.25">
      <c r="A174">
        <v>2.37999963760375</v>
      </c>
      <c r="B174">
        <v>6.9229917526245099</v>
      </c>
      <c r="C174">
        <f t="shared" si="2"/>
        <v>1.2224282310622367E-5</v>
      </c>
    </row>
    <row r="175" spans="1:3" x14ac:dyDescent="0.25">
      <c r="A175">
        <v>2.39399981498718</v>
      </c>
      <c r="B175">
        <v>6.9175148010253897</v>
      </c>
      <c r="C175">
        <f t="shared" si="2"/>
        <v>1.2381113564634664E-5</v>
      </c>
    </row>
    <row r="176" spans="1:3" x14ac:dyDescent="0.25">
      <c r="A176">
        <v>2.4079997539520201</v>
      </c>
      <c r="B176">
        <v>6.9134712219238201</v>
      </c>
      <c r="C176">
        <f t="shared" si="2"/>
        <v>1.2498637191321328E-5</v>
      </c>
    </row>
    <row r="177" spans="1:3" x14ac:dyDescent="0.25">
      <c r="A177">
        <v>2.4219996929168701</v>
      </c>
      <c r="B177">
        <v>6.9089016914367596</v>
      </c>
      <c r="C177">
        <f t="shared" si="2"/>
        <v>1.2632565517346351E-5</v>
      </c>
    </row>
    <row r="178" spans="1:3" x14ac:dyDescent="0.25">
      <c r="A178">
        <v>2.4359998703002899</v>
      </c>
      <c r="B178">
        <v>6.9036307334899902</v>
      </c>
      <c r="C178">
        <f t="shared" si="2"/>
        <v>1.2788566832384668E-5</v>
      </c>
    </row>
    <row r="179" spans="1:3" x14ac:dyDescent="0.25">
      <c r="A179">
        <v>2.4499998092651301</v>
      </c>
      <c r="B179">
        <v>6.8975348472595197</v>
      </c>
      <c r="C179">
        <f t="shared" si="2"/>
        <v>1.2971109173762814E-5</v>
      </c>
    </row>
    <row r="180" spans="1:3" x14ac:dyDescent="0.25">
      <c r="A180">
        <v>2.46399974822998</v>
      </c>
      <c r="B180">
        <v>6.8926453590393004</v>
      </c>
      <c r="C180">
        <f t="shared" si="2"/>
        <v>1.3119761668796562E-5</v>
      </c>
    </row>
    <row r="181" spans="1:3" x14ac:dyDescent="0.25">
      <c r="A181">
        <v>2.4779996871948198</v>
      </c>
      <c r="B181">
        <v>6.8887257575988698</v>
      </c>
      <c r="C181">
        <f t="shared" si="2"/>
        <v>1.3240515133757743E-5</v>
      </c>
    </row>
    <row r="182" spans="1:3" x14ac:dyDescent="0.25">
      <c r="A182">
        <v>2.49199962615966</v>
      </c>
      <c r="B182">
        <v>6.8841872215270996</v>
      </c>
      <c r="C182">
        <f t="shared" si="2"/>
        <v>1.3381436723861025E-5</v>
      </c>
    </row>
    <row r="183" spans="1:3" x14ac:dyDescent="0.25">
      <c r="A183">
        <v>2.5059998035430899</v>
      </c>
      <c r="B183">
        <v>6.8802061080932599</v>
      </c>
      <c r="C183">
        <f t="shared" si="2"/>
        <v>1.3506511037859256E-5</v>
      </c>
    </row>
    <row r="184" spans="1:3" x14ac:dyDescent="0.25">
      <c r="A184">
        <v>2.5199997425079301</v>
      </c>
      <c r="B184">
        <v>6.8762450218200604</v>
      </c>
      <c r="C184">
        <f t="shared" si="2"/>
        <v>1.3632125467381096E-5</v>
      </c>
    </row>
    <row r="185" spans="1:3" x14ac:dyDescent="0.25">
      <c r="A185">
        <v>2.5339996814727699</v>
      </c>
      <c r="B185">
        <v>6.8747806549072203</v>
      </c>
      <c r="C185">
        <f t="shared" si="2"/>
        <v>1.3680036114740616E-5</v>
      </c>
    </row>
    <row r="186" spans="1:3" x14ac:dyDescent="0.25">
      <c r="A186">
        <v>2.5479998588561998</v>
      </c>
      <c r="B186">
        <v>6.8720164299011204</v>
      </c>
      <c r="C186">
        <f t="shared" si="2"/>
        <v>1.3769265186220601E-5</v>
      </c>
    </row>
    <row r="187" spans="1:3" x14ac:dyDescent="0.25">
      <c r="A187">
        <v>2.56199979782104</v>
      </c>
      <c r="B187">
        <v>6.8721714019775302</v>
      </c>
      <c r="C187">
        <f t="shared" si="2"/>
        <v>1.3766231808804297E-5</v>
      </c>
    </row>
    <row r="188" spans="1:3" x14ac:dyDescent="0.25">
      <c r="A188">
        <v>2.5759997367858798</v>
      </c>
      <c r="B188">
        <v>6.8729653358459402</v>
      </c>
      <c r="C188">
        <f t="shared" si="2"/>
        <v>1.374296443435412E-5</v>
      </c>
    </row>
    <row r="189" spans="1:3" x14ac:dyDescent="0.25">
      <c r="A189">
        <v>2.5899996757507302</v>
      </c>
      <c r="B189">
        <v>6.8728213310241699</v>
      </c>
      <c r="C189">
        <f t="shared" si="2"/>
        <v>1.3749398439149812E-5</v>
      </c>
    </row>
    <row r="190" spans="1:3" x14ac:dyDescent="0.25">
      <c r="A190">
        <v>2.60399961471557</v>
      </c>
      <c r="B190">
        <v>6.8717899322509703</v>
      </c>
      <c r="C190">
        <f t="shared" si="2"/>
        <v>1.3783971234578519E-5</v>
      </c>
    </row>
    <row r="191" spans="1:3" x14ac:dyDescent="0.25">
      <c r="A191">
        <v>2.6179997920989901</v>
      </c>
      <c r="B191">
        <v>6.8687782287597603</v>
      </c>
      <c r="C191">
        <f t="shared" si="2"/>
        <v>1.3881785085290758E-5</v>
      </c>
    </row>
    <row r="192" spans="1:3" x14ac:dyDescent="0.25">
      <c r="A192">
        <v>2.6319997310638401</v>
      </c>
      <c r="B192">
        <v>6.8653230667114196</v>
      </c>
      <c r="C192">
        <f t="shared" si="2"/>
        <v>1.3994575332725297E-5</v>
      </c>
    </row>
    <row r="193" spans="1:3" x14ac:dyDescent="0.25">
      <c r="A193">
        <v>2.6459996700286799</v>
      </c>
      <c r="B193">
        <v>6.8603415489196697</v>
      </c>
      <c r="C193">
        <f t="shared" si="2"/>
        <v>1.4157953439346805E-5</v>
      </c>
    </row>
    <row r="194" spans="1:3" x14ac:dyDescent="0.25">
      <c r="A194">
        <v>2.6599998474121</v>
      </c>
      <c r="B194">
        <v>6.8588051795959402</v>
      </c>
      <c r="C194">
        <f t="shared" si="2"/>
        <v>1.4210065497069343E-5</v>
      </c>
    </row>
    <row r="195" spans="1:3" x14ac:dyDescent="0.25">
      <c r="A195">
        <v>2.67399978637695</v>
      </c>
      <c r="B195">
        <v>6.8605999946594203</v>
      </c>
      <c r="C195">
        <f t="shared" si="2"/>
        <v>1.4153390398341824E-5</v>
      </c>
    </row>
    <row r="196" spans="1:3" x14ac:dyDescent="0.25">
      <c r="A196">
        <v>2.6879997253417902</v>
      </c>
      <c r="B196">
        <v>6.8613219261169398</v>
      </c>
      <c r="C196">
        <f t="shared" si="2"/>
        <v>1.4131809295741932E-5</v>
      </c>
    </row>
    <row r="197" spans="1:3" x14ac:dyDescent="0.25">
      <c r="A197">
        <v>2.7019996643066402</v>
      </c>
      <c r="B197">
        <v>6.8601255416870099</v>
      </c>
      <c r="C197">
        <f t="shared" ref="C197:C260" si="3">(10^-B197)*(100+A197)</f>
        <v>1.4172724920276792E-5</v>
      </c>
    </row>
    <row r="198" spans="1:3" x14ac:dyDescent="0.25">
      <c r="A198">
        <v>2.7159996032714799</v>
      </c>
      <c r="B198">
        <v>6.8610644340515101</v>
      </c>
      <c r="C198">
        <f t="shared" si="3"/>
        <v>1.414404609058245E-5</v>
      </c>
    </row>
    <row r="199" spans="1:3" x14ac:dyDescent="0.25">
      <c r="A199">
        <v>2.7299997806549001</v>
      </c>
      <c r="B199">
        <v>6.8590531349182102</v>
      </c>
      <c r="C199">
        <f t="shared" si="3"/>
        <v>1.4211638513590845E-5</v>
      </c>
    </row>
    <row r="200" spans="1:3" x14ac:dyDescent="0.25">
      <c r="A200">
        <v>2.7439997196197501</v>
      </c>
      <c r="B200">
        <v>6.8557429313659597</v>
      </c>
      <c r="C200">
        <f t="shared" si="3"/>
        <v>1.4322325413841638E-5</v>
      </c>
    </row>
    <row r="201" spans="1:3" x14ac:dyDescent="0.25">
      <c r="A201">
        <v>2.7579996585845898</v>
      </c>
      <c r="B201">
        <v>6.8530311584472603</v>
      </c>
      <c r="C201">
        <f t="shared" si="3"/>
        <v>1.4413998848341675E-5</v>
      </c>
    </row>
    <row r="202" spans="1:3" x14ac:dyDescent="0.25">
      <c r="A202">
        <v>2.77199983596801</v>
      </c>
      <c r="B202">
        <v>6.8507418632507298</v>
      </c>
      <c r="C202">
        <f t="shared" si="3"/>
        <v>1.4492154129670875E-5</v>
      </c>
    </row>
    <row r="203" spans="1:3" x14ac:dyDescent="0.25">
      <c r="A203">
        <v>2.78599977493286</v>
      </c>
      <c r="B203">
        <v>6.84795665740966</v>
      </c>
      <c r="C203">
        <f t="shared" si="3"/>
        <v>1.4587380358447036E-5</v>
      </c>
    </row>
    <row r="204" spans="1:3" x14ac:dyDescent="0.25">
      <c r="A204">
        <v>2.7999997138977002</v>
      </c>
      <c r="B204">
        <v>6.8439249992370597</v>
      </c>
      <c r="C204">
        <f t="shared" si="3"/>
        <v>1.4725434362277817E-5</v>
      </c>
    </row>
    <row r="205" spans="1:3" x14ac:dyDescent="0.25">
      <c r="A205">
        <v>2.8139996528625399</v>
      </c>
      <c r="B205">
        <v>6.8396143913268999</v>
      </c>
      <c r="C205">
        <f t="shared" si="3"/>
        <v>1.4874345430779224E-5</v>
      </c>
    </row>
    <row r="206" spans="1:3" x14ac:dyDescent="0.25">
      <c r="A206">
        <v>2.8279995918273899</v>
      </c>
      <c r="B206">
        <v>6.8350253105163503</v>
      </c>
      <c r="C206">
        <f t="shared" si="3"/>
        <v>1.5034399165253817E-5</v>
      </c>
    </row>
    <row r="207" spans="1:3" x14ac:dyDescent="0.25">
      <c r="A207">
        <v>2.8419997692108101</v>
      </c>
      <c r="B207">
        <v>6.8314366340637198</v>
      </c>
      <c r="C207">
        <f t="shared" si="3"/>
        <v>1.5161210545096217E-5</v>
      </c>
    </row>
    <row r="208" spans="1:3" x14ac:dyDescent="0.25">
      <c r="A208">
        <v>2.8559997081756499</v>
      </c>
      <c r="B208">
        <v>6.8267235755920401</v>
      </c>
      <c r="C208">
        <f t="shared" si="3"/>
        <v>1.5328725744811781E-5</v>
      </c>
    </row>
    <row r="209" spans="1:3" x14ac:dyDescent="0.25">
      <c r="A209">
        <v>2.8699996471404998</v>
      </c>
      <c r="B209">
        <v>6.8230013847351003</v>
      </c>
      <c r="C209">
        <f t="shared" si="3"/>
        <v>1.5462772049458678E-5</v>
      </c>
    </row>
    <row r="210" spans="1:3" x14ac:dyDescent="0.25">
      <c r="A210">
        <v>2.88399982452392</v>
      </c>
      <c r="B210">
        <v>6.82254838943481</v>
      </c>
      <c r="C210">
        <f t="shared" si="3"/>
        <v>1.5481015681325409E-5</v>
      </c>
    </row>
    <row r="211" spans="1:3" x14ac:dyDescent="0.25">
      <c r="A211">
        <v>2.8979997634887602</v>
      </c>
      <c r="B211">
        <v>6.8224868774414</v>
      </c>
      <c r="C211">
        <f t="shared" si="3"/>
        <v>1.5485315392427034E-5</v>
      </c>
    </row>
    <row r="212" spans="1:3" x14ac:dyDescent="0.25">
      <c r="A212">
        <v>2.9119997024536102</v>
      </c>
      <c r="B212">
        <v>6.82110548019409</v>
      </c>
      <c r="C212">
        <f t="shared" si="3"/>
        <v>1.5536762855058225E-5</v>
      </c>
    </row>
    <row r="213" spans="1:3" x14ac:dyDescent="0.25">
      <c r="A213">
        <v>2.9259996414184499</v>
      </c>
      <c r="B213">
        <v>6.8181047439575098</v>
      </c>
      <c r="C213">
        <f t="shared" si="3"/>
        <v>1.5646613315353462E-5</v>
      </c>
    </row>
    <row r="214" spans="1:3" x14ac:dyDescent="0.25">
      <c r="A214">
        <v>2.9399995803832999</v>
      </c>
      <c r="B214">
        <v>6.8129076957702601</v>
      </c>
      <c r="C214">
        <f t="shared" si="3"/>
        <v>1.5837129442315672E-5</v>
      </c>
    </row>
    <row r="215" spans="1:3" x14ac:dyDescent="0.25">
      <c r="A215">
        <v>2.9539997577667201</v>
      </c>
      <c r="B215">
        <v>6.8091955184936497</v>
      </c>
      <c r="C215">
        <f t="shared" si="3"/>
        <v>1.5975251539762163E-5</v>
      </c>
    </row>
    <row r="216" spans="1:3" x14ac:dyDescent="0.25">
      <c r="A216">
        <v>2.9679996967315598</v>
      </c>
      <c r="B216">
        <v>6.8042659759521396</v>
      </c>
      <c r="C216">
        <f t="shared" si="3"/>
        <v>1.6159811854726376E-5</v>
      </c>
    </row>
    <row r="217" spans="1:3" x14ac:dyDescent="0.25">
      <c r="A217">
        <v>2.9819996356964098</v>
      </c>
      <c r="B217">
        <v>6.7982645034790004</v>
      </c>
      <c r="C217">
        <f t="shared" si="3"/>
        <v>1.6386900508230486E-5</v>
      </c>
    </row>
    <row r="218" spans="1:3" x14ac:dyDescent="0.25">
      <c r="A218">
        <v>2.99599981307983</v>
      </c>
      <c r="B218">
        <v>6.7925515174865696</v>
      </c>
      <c r="C218">
        <f t="shared" si="3"/>
        <v>1.6606145556795048E-5</v>
      </c>
    </row>
    <row r="219" spans="1:3" x14ac:dyDescent="0.25">
      <c r="A219">
        <v>3.0099997520446702</v>
      </c>
      <c r="B219">
        <v>6.78877830505371</v>
      </c>
      <c r="C219">
        <f t="shared" si="3"/>
        <v>1.6753327606163457E-5</v>
      </c>
    </row>
    <row r="220" spans="1:3" x14ac:dyDescent="0.25">
      <c r="A220">
        <v>3.0239996910095202</v>
      </c>
      <c r="B220">
        <v>6.7851066589355398</v>
      </c>
      <c r="C220">
        <f t="shared" si="3"/>
        <v>1.6897861551715235E-5</v>
      </c>
    </row>
    <row r="221" spans="1:3" x14ac:dyDescent="0.25">
      <c r="A221">
        <v>3.0379996299743599</v>
      </c>
      <c r="B221">
        <v>6.7802085876464799</v>
      </c>
      <c r="C221">
        <f t="shared" si="3"/>
        <v>1.7091840489929824E-5</v>
      </c>
    </row>
    <row r="222" spans="1:3" x14ac:dyDescent="0.25">
      <c r="A222">
        <v>3.0519995689392001</v>
      </c>
      <c r="B222">
        <v>6.7755484580993599</v>
      </c>
      <c r="C222">
        <f t="shared" si="3"/>
        <v>1.7278576689978526E-5</v>
      </c>
    </row>
    <row r="223" spans="1:3" x14ac:dyDescent="0.25">
      <c r="A223">
        <v>3.0659997463226301</v>
      </c>
      <c r="B223">
        <v>6.7709803581237704</v>
      </c>
      <c r="C223">
        <f t="shared" si="3"/>
        <v>1.7463651743421969E-5</v>
      </c>
    </row>
    <row r="224" spans="1:3" x14ac:dyDescent="0.25">
      <c r="A224">
        <v>3.0799996852874698</v>
      </c>
      <c r="B224">
        <v>6.7664647102355904</v>
      </c>
      <c r="C224">
        <f t="shared" si="3"/>
        <v>1.764857717184393E-5</v>
      </c>
    </row>
    <row r="225" spans="1:3" x14ac:dyDescent="0.25">
      <c r="A225">
        <v>3.09399962425231</v>
      </c>
      <c r="B225">
        <v>6.7652277946472097</v>
      </c>
      <c r="C225">
        <f t="shared" si="3"/>
        <v>1.770131759242234E-5</v>
      </c>
    </row>
    <row r="226" spans="1:3" x14ac:dyDescent="0.25">
      <c r="A226">
        <v>3.10799980163574</v>
      </c>
      <c r="B226">
        <v>6.7632179260253897</v>
      </c>
      <c r="C226">
        <f t="shared" si="3"/>
        <v>1.7785842247911277E-5</v>
      </c>
    </row>
    <row r="227" spans="1:3" x14ac:dyDescent="0.25">
      <c r="A227">
        <v>3.1219997406005802</v>
      </c>
      <c r="B227">
        <v>6.7599802017211896</v>
      </c>
      <c r="C227">
        <f t="shared" si="3"/>
        <v>1.792136662784192E-5</v>
      </c>
    </row>
    <row r="228" spans="1:3" x14ac:dyDescent="0.25">
      <c r="A228">
        <v>3.1359996795654199</v>
      </c>
      <c r="B228">
        <v>6.7547421455383301</v>
      </c>
      <c r="C228">
        <f t="shared" si="3"/>
        <v>1.8141288792433765E-5</v>
      </c>
    </row>
    <row r="229" spans="1:3" x14ac:dyDescent="0.25">
      <c r="A229">
        <v>3.1499996185302699</v>
      </c>
      <c r="B229">
        <v>6.7497520446777299</v>
      </c>
      <c r="C229">
        <f t="shared" si="3"/>
        <v>1.8353427729467078E-5</v>
      </c>
    </row>
    <row r="230" spans="1:3" x14ac:dyDescent="0.25">
      <c r="A230">
        <v>3.1639995574951101</v>
      </c>
      <c r="B230">
        <v>6.7442975044250399</v>
      </c>
      <c r="C230">
        <f t="shared" si="3"/>
        <v>1.8587914514476645E-5</v>
      </c>
    </row>
    <row r="231" spans="1:3" x14ac:dyDescent="0.25">
      <c r="A231">
        <v>3.17799973487854</v>
      </c>
      <c r="B231">
        <v>6.7402138710021902</v>
      </c>
      <c r="C231">
        <f t="shared" si="3"/>
        <v>1.8766065729769568E-5</v>
      </c>
    </row>
    <row r="232" spans="1:3" x14ac:dyDescent="0.25">
      <c r="A232">
        <v>3.1919996738433798</v>
      </c>
      <c r="B232">
        <v>6.7341108322143501</v>
      </c>
      <c r="C232">
        <f t="shared" si="3"/>
        <v>1.9034224887844171E-5</v>
      </c>
    </row>
    <row r="233" spans="1:3" x14ac:dyDescent="0.25">
      <c r="A233">
        <v>3.20599961280822</v>
      </c>
      <c r="B233">
        <v>6.7297382354736301</v>
      </c>
      <c r="C233">
        <f t="shared" si="3"/>
        <v>1.9229443198615609E-5</v>
      </c>
    </row>
    <row r="234" spans="1:3" x14ac:dyDescent="0.25">
      <c r="A234">
        <v>3.2199997901916499</v>
      </c>
      <c r="B234">
        <v>6.7262434959411603</v>
      </c>
      <c r="C234">
        <f t="shared" si="3"/>
        <v>1.9387435140144138E-5</v>
      </c>
    </row>
    <row r="235" spans="1:3" x14ac:dyDescent="0.25">
      <c r="A235">
        <v>3.2339997291564901</v>
      </c>
      <c r="B235">
        <v>6.7253484725952104</v>
      </c>
      <c r="C235">
        <f t="shared" si="3"/>
        <v>1.9430066254780317E-5</v>
      </c>
    </row>
    <row r="236" spans="1:3" x14ac:dyDescent="0.25">
      <c r="A236">
        <v>3.2479996681213299</v>
      </c>
      <c r="B236">
        <v>6.72702884674072</v>
      </c>
      <c r="C236">
        <f t="shared" si="3"/>
        <v>1.9357657416188593E-5</v>
      </c>
    </row>
    <row r="237" spans="1:3" x14ac:dyDescent="0.25">
      <c r="A237">
        <v>3.2619996070861799</v>
      </c>
      <c r="B237">
        <v>6.7256484031677202</v>
      </c>
      <c r="C237">
        <f t="shared" si="3"/>
        <v>1.9421918505109054E-5</v>
      </c>
    </row>
    <row r="238" spans="1:3" x14ac:dyDescent="0.25">
      <c r="A238">
        <v>3.2759995460510201</v>
      </c>
      <c r="B238">
        <v>6.7262792587280202</v>
      </c>
      <c r="C238">
        <f t="shared" si="3"/>
        <v>1.9396356074744355E-5</v>
      </c>
    </row>
    <row r="239" spans="1:3" x14ac:dyDescent="0.25">
      <c r="A239">
        <v>3.2899997234344398</v>
      </c>
      <c r="B239">
        <v>6.7248363494873002</v>
      </c>
      <c r="C239">
        <f t="shared" si="3"/>
        <v>1.9463544249354161E-5</v>
      </c>
    </row>
    <row r="240" spans="1:3" x14ac:dyDescent="0.25">
      <c r="A240">
        <v>3.3039996623992902</v>
      </c>
      <c r="B240">
        <v>6.7239809036254803</v>
      </c>
      <c r="C240">
        <f t="shared" si="3"/>
        <v>1.9504563385799426E-5</v>
      </c>
    </row>
    <row r="241" spans="1:3" x14ac:dyDescent="0.25">
      <c r="A241">
        <v>3.31799960136413</v>
      </c>
      <c r="B241">
        <v>6.72202348709106</v>
      </c>
      <c r="C241">
        <f t="shared" si="3"/>
        <v>1.959532639715196E-5</v>
      </c>
    </row>
    <row r="242" spans="1:3" x14ac:dyDescent="0.25">
      <c r="A242">
        <v>3.3319997787475502</v>
      </c>
      <c r="B242">
        <v>6.7241902351379297</v>
      </c>
      <c r="C242">
        <f t="shared" si="3"/>
        <v>1.9500448463635398E-5</v>
      </c>
    </row>
    <row r="243" spans="1:3" x14ac:dyDescent="0.25">
      <c r="A243">
        <v>3.3459997177124001</v>
      </c>
      <c r="B243">
        <v>6.7355937957763601</v>
      </c>
      <c r="C243">
        <f t="shared" si="3"/>
        <v>1.89976496818354E-5</v>
      </c>
    </row>
    <row r="244" spans="1:3" x14ac:dyDescent="0.25">
      <c r="A244">
        <v>3.3599996566772399</v>
      </c>
      <c r="B244">
        <v>6.7471027374267498</v>
      </c>
      <c r="C244">
        <f t="shared" si="3"/>
        <v>1.8503324350796691E-5</v>
      </c>
    </row>
    <row r="245" spans="1:3" x14ac:dyDescent="0.25">
      <c r="A245">
        <v>3.3739995956420898</v>
      </c>
      <c r="B245">
        <v>6.7298016548156703</v>
      </c>
      <c r="C245">
        <f t="shared" si="3"/>
        <v>1.9257932709347039E-5</v>
      </c>
    </row>
    <row r="246" spans="1:3" x14ac:dyDescent="0.25">
      <c r="A246">
        <v>3.38799953460693</v>
      </c>
      <c r="B246">
        <v>6.7240586280822701</v>
      </c>
      <c r="C246">
        <f t="shared" si="3"/>
        <v>1.9516929983951224E-5</v>
      </c>
    </row>
    <row r="247" spans="1:3" x14ac:dyDescent="0.25">
      <c r="A247">
        <v>3.4019997119903498</v>
      </c>
      <c r="B247">
        <v>6.7202033996581996</v>
      </c>
      <c r="C247">
        <f t="shared" si="3"/>
        <v>1.9693619292259644E-5</v>
      </c>
    </row>
    <row r="248" spans="1:3" x14ac:dyDescent="0.25">
      <c r="A248">
        <v>3.4159996509552002</v>
      </c>
      <c r="B248">
        <v>6.71557521820068</v>
      </c>
      <c r="C248">
        <f t="shared" si="3"/>
        <v>1.9907307099492863E-5</v>
      </c>
    </row>
    <row r="249" spans="1:3" x14ac:dyDescent="0.25">
      <c r="A249">
        <v>3.4299995899200399</v>
      </c>
      <c r="B249">
        <v>6.7110791206359801</v>
      </c>
      <c r="C249">
        <f t="shared" si="3"/>
        <v>2.0117193920018434E-5</v>
      </c>
    </row>
    <row r="250" spans="1:3" x14ac:dyDescent="0.25">
      <c r="A250">
        <v>3.4439997673034601</v>
      </c>
      <c r="B250">
        <v>6.7039146423339799</v>
      </c>
      <c r="C250">
        <f t="shared" si="3"/>
        <v>2.0454584515445778E-5</v>
      </c>
    </row>
    <row r="251" spans="1:3" x14ac:dyDescent="0.25">
      <c r="A251">
        <v>3.4579997062683101</v>
      </c>
      <c r="B251">
        <v>6.7008538246154696</v>
      </c>
      <c r="C251">
        <f t="shared" si="3"/>
        <v>2.0602041266217403E-5</v>
      </c>
    </row>
    <row r="252" spans="1:3" x14ac:dyDescent="0.25">
      <c r="A252">
        <v>3.4719996452331499</v>
      </c>
      <c r="B252">
        <v>6.6998949050903303</v>
      </c>
      <c r="C252">
        <f t="shared" si="3"/>
        <v>2.0650374733686207E-5</v>
      </c>
    </row>
    <row r="253" spans="1:3" x14ac:dyDescent="0.25">
      <c r="A253">
        <v>3.4859995841979901</v>
      </c>
      <c r="B253">
        <v>6.6971325874328604</v>
      </c>
      <c r="C253">
        <f t="shared" si="3"/>
        <v>2.07849513105685E-5</v>
      </c>
    </row>
    <row r="254" spans="1:3" x14ac:dyDescent="0.25">
      <c r="A254">
        <v>3.49999952316284</v>
      </c>
      <c r="B254">
        <v>6.69622707366943</v>
      </c>
      <c r="C254">
        <f t="shared" si="3"/>
        <v>2.0831151340398317E-5</v>
      </c>
    </row>
    <row r="255" spans="1:3" x14ac:dyDescent="0.25">
      <c r="A255">
        <v>3.5139997005462602</v>
      </c>
      <c r="B255">
        <v>6.6929702758789</v>
      </c>
      <c r="C255">
        <f t="shared" si="3"/>
        <v>2.099079145139652E-5</v>
      </c>
    </row>
    <row r="256" spans="1:3" x14ac:dyDescent="0.25">
      <c r="A256">
        <v>3.5279996395111</v>
      </c>
      <c r="B256">
        <v>6.6890516281127903</v>
      </c>
      <c r="C256">
        <f t="shared" si="3"/>
        <v>2.1183913507746298E-5</v>
      </c>
    </row>
    <row r="257" spans="1:3" x14ac:dyDescent="0.25">
      <c r="A257">
        <v>3.5419995784759499</v>
      </c>
      <c r="B257">
        <v>6.6869721412658603</v>
      </c>
      <c r="C257">
        <f t="shared" si="3"/>
        <v>2.1288467872083626E-5</v>
      </c>
    </row>
    <row r="258" spans="1:3" x14ac:dyDescent="0.25">
      <c r="A258">
        <v>3.5559997558593701</v>
      </c>
      <c r="B258">
        <v>6.6846828460693297</v>
      </c>
      <c r="C258">
        <f t="shared" si="3"/>
        <v>2.1403875677175884E-5</v>
      </c>
    </row>
    <row r="259" spans="1:3" x14ac:dyDescent="0.25">
      <c r="A259">
        <v>3.5699996948242099</v>
      </c>
      <c r="B259">
        <v>6.6842927932739196</v>
      </c>
      <c r="C259">
        <f t="shared" si="3"/>
        <v>2.1426004001907324E-5</v>
      </c>
    </row>
    <row r="260" spans="1:3" x14ac:dyDescent="0.25">
      <c r="A260">
        <v>3.5839996337890598</v>
      </c>
      <c r="B260">
        <v>6.6815295219421298</v>
      </c>
      <c r="C260">
        <f t="shared" si="3"/>
        <v>2.1565679878596598E-5</v>
      </c>
    </row>
    <row r="261" spans="1:3" x14ac:dyDescent="0.25">
      <c r="A261">
        <v>3.5979995727539</v>
      </c>
      <c r="B261">
        <v>6.6771588325500399</v>
      </c>
      <c r="C261">
        <f t="shared" ref="C261:C324" si="4">(10^-B261)*(100+A261)</f>
        <v>2.1786754362382295E-5</v>
      </c>
    </row>
    <row r="262" spans="1:3" x14ac:dyDescent="0.25">
      <c r="A262">
        <v>3.61199951171875</v>
      </c>
      <c r="B262">
        <v>6.6722745895385698</v>
      </c>
      <c r="C262">
        <f t="shared" si="4"/>
        <v>2.2036137078452844E-5</v>
      </c>
    </row>
    <row r="263" spans="1:3" x14ac:dyDescent="0.25">
      <c r="A263">
        <v>3.6259996891021702</v>
      </c>
      <c r="B263">
        <v>6.6686134338378897</v>
      </c>
      <c r="C263">
        <f t="shared" si="4"/>
        <v>2.2225692396411265E-5</v>
      </c>
    </row>
    <row r="264" spans="1:3" x14ac:dyDescent="0.25">
      <c r="A264">
        <v>3.6399996280670099</v>
      </c>
      <c r="B264">
        <v>6.6640257835388104</v>
      </c>
      <c r="C264">
        <f t="shared" si="4"/>
        <v>2.2464751516973591E-5</v>
      </c>
    </row>
    <row r="265" spans="1:3" x14ac:dyDescent="0.25">
      <c r="A265">
        <v>3.6539995670318599</v>
      </c>
      <c r="B265">
        <v>6.6589541435241699</v>
      </c>
      <c r="C265">
        <f t="shared" si="4"/>
        <v>2.2731700259943472E-5</v>
      </c>
    </row>
    <row r="266" spans="1:3" x14ac:dyDescent="0.25">
      <c r="A266">
        <v>3.6679997444152801</v>
      </c>
      <c r="B266">
        <v>6.6542029380798304</v>
      </c>
      <c r="C266">
        <f t="shared" si="4"/>
        <v>2.2984855664435948E-5</v>
      </c>
    </row>
    <row r="267" spans="1:3" x14ac:dyDescent="0.25">
      <c r="A267">
        <v>3.6819996833801198</v>
      </c>
      <c r="B267">
        <v>6.6500277519226003</v>
      </c>
      <c r="C267">
        <f t="shared" si="4"/>
        <v>2.3210025243020625E-5</v>
      </c>
    </row>
    <row r="268" spans="1:3" x14ac:dyDescent="0.25">
      <c r="A268">
        <v>3.6959996223449698</v>
      </c>
      <c r="B268">
        <v>6.6449880599975497</v>
      </c>
      <c r="C268">
        <f t="shared" si="4"/>
        <v>2.3484101162995445E-5</v>
      </c>
    </row>
    <row r="269" spans="1:3" x14ac:dyDescent="0.25">
      <c r="A269">
        <v>3.70999956130981</v>
      </c>
      <c r="B269">
        <v>6.6414623260498002</v>
      </c>
      <c r="C269">
        <f t="shared" si="4"/>
        <v>2.3678724598202772E-5</v>
      </c>
    </row>
    <row r="270" spans="1:3" x14ac:dyDescent="0.25">
      <c r="A270">
        <v>3.7239995002746502</v>
      </c>
      <c r="B270">
        <v>6.6376681327819798</v>
      </c>
      <c r="C270">
        <f t="shared" si="4"/>
        <v>2.3889723410788847E-5</v>
      </c>
    </row>
    <row r="271" spans="1:3" x14ac:dyDescent="0.25">
      <c r="A271">
        <v>3.7379996776580802</v>
      </c>
      <c r="B271">
        <v>6.6347413063049299</v>
      </c>
      <c r="C271">
        <f t="shared" si="4"/>
        <v>2.4054512691692584E-5</v>
      </c>
    </row>
    <row r="272" spans="1:3" x14ac:dyDescent="0.25">
      <c r="A272">
        <v>3.7519996166229199</v>
      </c>
      <c r="B272">
        <v>6.6316475868225098</v>
      </c>
      <c r="C272">
        <f t="shared" si="4"/>
        <v>2.422974752633157E-5</v>
      </c>
    </row>
    <row r="273" spans="1:3" x14ac:dyDescent="0.25">
      <c r="A273">
        <v>3.7659995555877601</v>
      </c>
      <c r="B273">
        <v>6.62864017486572</v>
      </c>
      <c r="C273">
        <f t="shared" si="4"/>
        <v>2.440140870153914E-5</v>
      </c>
    </row>
    <row r="274" spans="1:3" x14ac:dyDescent="0.25">
      <c r="A274">
        <v>3.7799997329711901</v>
      </c>
      <c r="B274">
        <v>6.62843418121337</v>
      </c>
      <c r="C274">
        <f t="shared" si="4"/>
        <v>2.4416279288278642E-5</v>
      </c>
    </row>
    <row r="275" spans="1:3" x14ac:dyDescent="0.25">
      <c r="A275">
        <v>3.7939996719360298</v>
      </c>
      <c r="B275">
        <v>6.6254158020019496</v>
      </c>
      <c r="C275">
        <f t="shared" si="4"/>
        <v>2.4589882056597011E-5</v>
      </c>
    </row>
    <row r="276" spans="1:3" x14ac:dyDescent="0.25">
      <c r="A276">
        <v>3.80799961090087</v>
      </c>
      <c r="B276">
        <v>6.6214976310729901</v>
      </c>
      <c r="C276">
        <f t="shared" si="4"/>
        <v>2.4816080608223239E-5</v>
      </c>
    </row>
    <row r="277" spans="1:3" x14ac:dyDescent="0.25">
      <c r="A277">
        <v>3.82199954986572</v>
      </c>
      <c r="B277">
        <v>6.6165504455566397</v>
      </c>
      <c r="C277">
        <f t="shared" si="4"/>
        <v>2.5103769771785329E-5</v>
      </c>
    </row>
    <row r="278" spans="1:3" x14ac:dyDescent="0.25">
      <c r="A278">
        <v>3.8359994888305602</v>
      </c>
      <c r="B278">
        <v>6.61201667785644</v>
      </c>
      <c r="C278">
        <f t="shared" si="4"/>
        <v>2.5370631055712351E-5</v>
      </c>
    </row>
    <row r="279" spans="1:3" x14ac:dyDescent="0.25">
      <c r="A279">
        <v>3.8499996662139799</v>
      </c>
      <c r="B279">
        <v>6.6081504821777299</v>
      </c>
      <c r="C279">
        <f t="shared" si="4"/>
        <v>2.5600946220696891E-5</v>
      </c>
    </row>
    <row r="280" spans="1:3" x14ac:dyDescent="0.25">
      <c r="A280">
        <v>3.8639996051788299</v>
      </c>
      <c r="B280">
        <v>6.6041283607482901</v>
      </c>
      <c r="C280">
        <f t="shared" si="4"/>
        <v>2.5842628336297327E-5</v>
      </c>
    </row>
    <row r="281" spans="1:3" x14ac:dyDescent="0.25">
      <c r="A281">
        <v>3.8779995441436701</v>
      </c>
      <c r="B281">
        <v>6.5992326736450098</v>
      </c>
      <c r="C281">
        <f t="shared" si="4"/>
        <v>2.6139116469092693E-5</v>
      </c>
    </row>
    <row r="282" spans="1:3" x14ac:dyDescent="0.25">
      <c r="A282">
        <v>3.8919997215270898</v>
      </c>
      <c r="B282">
        <v>6.5945229530334402</v>
      </c>
      <c r="C282">
        <f t="shared" si="4"/>
        <v>2.6427686885091133E-5</v>
      </c>
    </row>
    <row r="283" spans="1:3" x14ac:dyDescent="0.25">
      <c r="A283">
        <v>3.9059996604919398</v>
      </c>
      <c r="B283">
        <v>6.5893797874450604</v>
      </c>
      <c r="C283">
        <f t="shared" si="4"/>
        <v>2.674612300169305E-5</v>
      </c>
    </row>
    <row r="284" spans="1:3" x14ac:dyDescent="0.25">
      <c r="A284">
        <v>3.91999959945678</v>
      </c>
      <c r="B284">
        <v>6.5821208953857404</v>
      </c>
      <c r="C284">
        <f t="shared" si="4"/>
        <v>2.7200584783723697E-5</v>
      </c>
    </row>
    <row r="285" spans="1:3" x14ac:dyDescent="0.25">
      <c r="A285">
        <v>3.93399953842163</v>
      </c>
      <c r="B285">
        <v>6.57450103759765</v>
      </c>
      <c r="C285">
        <f t="shared" si="4"/>
        <v>2.7685769723056909E-5</v>
      </c>
    </row>
    <row r="286" spans="1:3" x14ac:dyDescent="0.25">
      <c r="A286">
        <v>3.9479994773864702</v>
      </c>
      <c r="B286">
        <v>6.5689053535461399</v>
      </c>
      <c r="C286">
        <f t="shared" si="4"/>
        <v>2.8048573713496039E-5</v>
      </c>
    </row>
    <row r="287" spans="1:3" x14ac:dyDescent="0.25">
      <c r="A287">
        <v>3.9619996547698899</v>
      </c>
      <c r="B287">
        <v>6.5631828308105398</v>
      </c>
      <c r="C287">
        <f t="shared" si="4"/>
        <v>2.8424431902060605E-5</v>
      </c>
    </row>
    <row r="288" spans="1:3" x14ac:dyDescent="0.25">
      <c r="A288">
        <v>3.9759995937347399</v>
      </c>
      <c r="B288">
        <v>6.5616502761840803</v>
      </c>
      <c r="C288">
        <f t="shared" si="4"/>
        <v>2.8528755569342781E-5</v>
      </c>
    </row>
    <row r="289" spans="1:5" x14ac:dyDescent="0.25">
      <c r="A289">
        <v>3.9899995326995801</v>
      </c>
      <c r="B289">
        <v>6.5584783554077104</v>
      </c>
      <c r="C289">
        <f t="shared" si="4"/>
        <v>2.8741750882805476E-5</v>
      </c>
    </row>
    <row r="290" spans="1:5" x14ac:dyDescent="0.25">
      <c r="A290">
        <v>4.0039997100829998</v>
      </c>
      <c r="B290">
        <v>6.5546021461486799</v>
      </c>
      <c r="C290">
        <f t="shared" si="4"/>
        <v>2.9003332085562723E-5</v>
      </c>
    </row>
    <row r="291" spans="1:5" x14ac:dyDescent="0.25">
      <c r="A291">
        <v>4.0179996490478498</v>
      </c>
      <c r="B291">
        <v>6.5540008544921804</v>
      </c>
      <c r="C291">
        <f t="shared" si="4"/>
        <v>2.9047425277722453E-5</v>
      </c>
    </row>
    <row r="292" spans="1:5" x14ac:dyDescent="0.25">
      <c r="A292">
        <v>4.03199958801269</v>
      </c>
      <c r="B292">
        <v>6.55165195465087</v>
      </c>
      <c r="C292">
        <f t="shared" si="4"/>
        <v>2.9208885848490111E-5</v>
      </c>
    </row>
    <row r="293" spans="1:5" x14ac:dyDescent="0.25">
      <c r="A293">
        <v>4.0459995269775302</v>
      </c>
      <c r="B293">
        <v>6.5507693290710396</v>
      </c>
      <c r="C293">
        <f t="shared" si="4"/>
        <v>2.9272246763530874E-5</v>
      </c>
    </row>
    <row r="294" spans="1:5" x14ac:dyDescent="0.25">
      <c r="A294">
        <v>4.0599994659423801</v>
      </c>
      <c r="B294">
        <v>6.5478124618530202</v>
      </c>
      <c r="C294">
        <f t="shared" si="4"/>
        <v>2.9476190692829881E-5</v>
      </c>
    </row>
    <row r="295" spans="1:5" x14ac:dyDescent="0.25">
      <c r="A295">
        <v>4.0739994049072203</v>
      </c>
      <c r="B295">
        <v>6.5459790229797301</v>
      </c>
      <c r="C295">
        <f t="shared" si="4"/>
        <v>2.9604874281957624E-5</v>
      </c>
    </row>
    <row r="296" spans="1:5" x14ac:dyDescent="0.25">
      <c r="A296">
        <v>4.0879993438720703</v>
      </c>
      <c r="B296">
        <v>6.5449242591857901</v>
      </c>
      <c r="C296">
        <f t="shared" si="4"/>
        <v>2.9680854635628187E-5</v>
      </c>
    </row>
    <row r="297" spans="1:5" x14ac:dyDescent="0.25">
      <c r="A297">
        <v>4.1019997596740696</v>
      </c>
      <c r="B297">
        <v>6.5409893989562899</v>
      </c>
      <c r="C297">
        <f t="shared" si="4"/>
        <v>2.9955024095309183E-5</v>
      </c>
    </row>
    <row r="298" spans="1:5" x14ac:dyDescent="0.25">
      <c r="A298">
        <v>4.1159996986389098</v>
      </c>
      <c r="B298">
        <v>6.5356702804565403</v>
      </c>
      <c r="C298">
        <f t="shared" si="4"/>
        <v>3.0328238940993488E-5</v>
      </c>
    </row>
    <row r="299" spans="1:5" x14ac:dyDescent="0.25">
      <c r="A299">
        <v>4.1299996376037598</v>
      </c>
      <c r="B299">
        <v>6.5298972129821697</v>
      </c>
      <c r="C299">
        <f t="shared" si="4"/>
        <v>3.0738215702969568E-5</v>
      </c>
    </row>
    <row r="300" spans="1:5" x14ac:dyDescent="0.25">
      <c r="A300">
        <v>4.1439995765686</v>
      </c>
      <c r="B300">
        <v>6.5243835449218697</v>
      </c>
      <c r="C300">
        <f t="shared" si="4"/>
        <v>3.113513172907986E-5</v>
      </c>
    </row>
    <row r="301" spans="1:5" x14ac:dyDescent="0.25">
      <c r="A301">
        <v>4.1579995155334402</v>
      </c>
      <c r="B301">
        <v>6.5189476013183496</v>
      </c>
      <c r="C301">
        <f t="shared" si="4"/>
        <v>3.1531528863647124E-5</v>
      </c>
      <c r="D301">
        <v>11208.99609375</v>
      </c>
      <c r="E301">
        <v>21.661561965942301</v>
      </c>
    </row>
    <row r="302" spans="1:5" x14ac:dyDescent="0.25">
      <c r="A302">
        <v>4.1719994544982901</v>
      </c>
      <c r="B302">
        <v>6.5156221389770499</v>
      </c>
      <c r="C302">
        <f t="shared" si="4"/>
        <v>3.177816831798331E-5</v>
      </c>
      <c r="D302">
        <v>11262.49609375</v>
      </c>
      <c r="E302">
        <v>21.665073394775298</v>
      </c>
    </row>
    <row r="303" spans="1:5" x14ac:dyDescent="0.25">
      <c r="A303">
        <v>4.1859993934631303</v>
      </c>
      <c r="B303">
        <v>6.5128145217895499</v>
      </c>
      <c r="C303">
        <f t="shared" si="4"/>
        <v>3.1988571043740911E-5</v>
      </c>
      <c r="D303">
        <v>11310.0966796875</v>
      </c>
      <c r="E303">
        <v>21.6704998016357</v>
      </c>
    </row>
    <row r="304" spans="1:5" x14ac:dyDescent="0.25">
      <c r="A304">
        <v>4.1999998092651296</v>
      </c>
      <c r="B304">
        <v>6.5077600479125897</v>
      </c>
      <c r="C304">
        <f t="shared" si="4"/>
        <v>3.2367389219075966E-5</v>
      </c>
      <c r="D304">
        <v>11339.8974609375</v>
      </c>
      <c r="E304">
        <v>21.667945861816399</v>
      </c>
    </row>
    <row r="305" spans="1:5" x14ac:dyDescent="0.25">
      <c r="A305">
        <v>4.2139997482299796</v>
      </c>
      <c r="B305">
        <v>6.5019974708557102</v>
      </c>
      <c r="C305">
        <f t="shared" si="4"/>
        <v>3.2804135237944134E-5</v>
      </c>
      <c r="D305">
        <v>11370.6962890625</v>
      </c>
      <c r="E305">
        <v>21.667945861816399</v>
      </c>
    </row>
    <row r="306" spans="1:5" x14ac:dyDescent="0.25">
      <c r="A306">
        <v>4.2279996871948198</v>
      </c>
      <c r="B306">
        <v>6.4957194328308097</v>
      </c>
      <c r="C306">
        <f t="shared" si="4"/>
        <v>3.3286257625458543E-5</v>
      </c>
      <c r="D306">
        <v>11402.7001953125</v>
      </c>
      <c r="E306">
        <v>21.667945861816399</v>
      </c>
    </row>
    <row r="307" spans="1:5" x14ac:dyDescent="0.25">
      <c r="A307">
        <v>4.24199962615966</v>
      </c>
      <c r="B307">
        <v>6.4909200668334899</v>
      </c>
      <c r="C307">
        <f t="shared" si="4"/>
        <v>3.3660663076011036E-5</v>
      </c>
      <c r="D307">
        <v>11447.1962890625</v>
      </c>
      <c r="E307">
        <v>21.6714572906494</v>
      </c>
    </row>
    <row r="308" spans="1:5" x14ac:dyDescent="0.25">
      <c r="A308">
        <v>4.2559995651245099</v>
      </c>
      <c r="B308">
        <v>6.4866924285888601</v>
      </c>
      <c r="C308">
        <f t="shared" si="4"/>
        <v>3.399449765579428E-5</v>
      </c>
      <c r="D308">
        <v>11488.3974609375</v>
      </c>
      <c r="E308">
        <v>21.6704998016357</v>
      </c>
    </row>
    <row r="309" spans="1:5" x14ac:dyDescent="0.25">
      <c r="A309">
        <v>4.2699995040893501</v>
      </c>
      <c r="B309">
        <v>6.4811997413635201</v>
      </c>
      <c r="C309">
        <f t="shared" si="4"/>
        <v>3.4431792316785067E-5</v>
      </c>
      <c r="D309">
        <v>11523.498046875</v>
      </c>
      <c r="E309">
        <v>21.671777725219702</v>
      </c>
    </row>
    <row r="310" spans="1:5" x14ac:dyDescent="0.25">
      <c r="A310">
        <v>4.2839994430541903</v>
      </c>
      <c r="B310">
        <v>6.4760761260986301</v>
      </c>
      <c r="C310">
        <f t="shared" si="4"/>
        <v>3.4845086948127547E-5</v>
      </c>
      <c r="D310">
        <v>11561.5966796875</v>
      </c>
      <c r="E310">
        <v>21.671777725219702</v>
      </c>
    </row>
    <row r="311" spans="1:5" x14ac:dyDescent="0.25">
      <c r="A311">
        <v>4.2979993820190403</v>
      </c>
      <c r="B311">
        <v>6.4700679779052699</v>
      </c>
      <c r="C311">
        <f t="shared" si="4"/>
        <v>3.5335236309997008E-5</v>
      </c>
      <c r="D311">
        <v>11594.498046875</v>
      </c>
      <c r="E311">
        <v>21.673053741455</v>
      </c>
    </row>
    <row r="312" spans="1:5" x14ac:dyDescent="0.25">
      <c r="A312">
        <v>4.3119993209838796</v>
      </c>
      <c r="B312">
        <v>6.46435546875</v>
      </c>
      <c r="C312">
        <f t="shared" si="4"/>
        <v>3.5807895773382456E-5</v>
      </c>
      <c r="D312">
        <v>11635.80078125</v>
      </c>
      <c r="E312">
        <v>21.671777725219702</v>
      </c>
    </row>
    <row r="313" spans="1:5" x14ac:dyDescent="0.25">
      <c r="A313">
        <v>4.3259997367858798</v>
      </c>
      <c r="B313">
        <v>6.4586362838745099</v>
      </c>
      <c r="C313">
        <f t="shared" si="4"/>
        <v>3.6287435032095484E-5</v>
      </c>
      <c r="D313">
        <v>11670.0009765625</v>
      </c>
      <c r="E313">
        <v>21.673053741455</v>
      </c>
    </row>
    <row r="314" spans="1:5" x14ac:dyDescent="0.25">
      <c r="A314">
        <v>4.3399996757507298</v>
      </c>
      <c r="B314">
        <v>6.4523735046386701</v>
      </c>
      <c r="C314">
        <f t="shared" si="4"/>
        <v>3.6819452506695167E-5</v>
      </c>
      <c r="D314">
        <v>11703.3974609375</v>
      </c>
      <c r="E314">
        <v>21.676565170288001</v>
      </c>
    </row>
    <row r="315" spans="1:5" x14ac:dyDescent="0.25">
      <c r="A315">
        <v>4.35399961471557</v>
      </c>
      <c r="B315">
        <v>6.44591856002807</v>
      </c>
      <c r="C315">
        <f t="shared" si="4"/>
        <v>3.7375803605162666E-5</v>
      </c>
      <c r="D315">
        <v>11740.6962890625</v>
      </c>
      <c r="E315">
        <v>21.675289154052699</v>
      </c>
    </row>
    <row r="316" spans="1:5" x14ac:dyDescent="0.25">
      <c r="A316">
        <v>4.3679995536804199</v>
      </c>
      <c r="B316">
        <v>6.4394946098327601</v>
      </c>
      <c r="C316">
        <f t="shared" si="4"/>
        <v>3.7937853006493645E-5</v>
      </c>
      <c r="D316">
        <v>11770.896484375</v>
      </c>
      <c r="E316">
        <v>21.6740112304687</v>
      </c>
    </row>
    <row r="317" spans="1:5" x14ac:dyDescent="0.25">
      <c r="A317">
        <v>4.3819994926452601</v>
      </c>
      <c r="B317">
        <v>6.4336252212524396</v>
      </c>
      <c r="C317">
        <f t="shared" si="4"/>
        <v>3.8459212784437753E-5</v>
      </c>
      <c r="D317">
        <v>11817.49609375</v>
      </c>
      <c r="E317">
        <v>21.6714572906494</v>
      </c>
    </row>
    <row r="318" spans="1:5" x14ac:dyDescent="0.25">
      <c r="A318">
        <v>4.3959994316101003</v>
      </c>
      <c r="B318">
        <v>6.4276132583618102</v>
      </c>
      <c r="C318">
        <f t="shared" si="4"/>
        <v>3.9000537996759866E-5</v>
      </c>
      <c r="D318">
        <v>11849.400390625</v>
      </c>
      <c r="E318">
        <v>21.676885604858398</v>
      </c>
    </row>
    <row r="319" spans="1:5" x14ac:dyDescent="0.25">
      <c r="A319">
        <v>4.4099993705749503</v>
      </c>
      <c r="B319">
        <v>6.4225306510925204</v>
      </c>
      <c r="C319">
        <f t="shared" si="4"/>
        <v>3.9464939562340792E-5</v>
      </c>
      <c r="D319">
        <v>11898.99609375</v>
      </c>
      <c r="E319">
        <v>21.676565170288001</v>
      </c>
    </row>
    <row r="320" spans="1:5" x14ac:dyDescent="0.25">
      <c r="A320">
        <v>4.4239997863769496</v>
      </c>
      <c r="B320">
        <v>6.41713094711303</v>
      </c>
      <c r="C320">
        <f t="shared" si="4"/>
        <v>3.9964039265490001E-5</v>
      </c>
      <c r="D320">
        <v>11940.498046875</v>
      </c>
      <c r="E320">
        <v>21.677843093871999</v>
      </c>
    </row>
    <row r="321" spans="1:5" x14ac:dyDescent="0.25">
      <c r="A321">
        <v>4.4379997253417898</v>
      </c>
      <c r="B321">
        <v>6.4113507270812899</v>
      </c>
      <c r="C321">
        <f t="shared" si="4"/>
        <v>4.0504923681140279E-5</v>
      </c>
      <c r="D321">
        <v>11982.30078125</v>
      </c>
      <c r="E321">
        <v>21.679437637329102</v>
      </c>
    </row>
    <row r="322" spans="1:5" x14ac:dyDescent="0.25">
      <c r="A322">
        <v>4.4519996643066397</v>
      </c>
      <c r="B322">
        <v>6.4055800437927202</v>
      </c>
      <c r="C322">
        <f t="shared" si="4"/>
        <v>4.1052226356697078E-5</v>
      </c>
      <c r="D322">
        <v>12018.7978515625</v>
      </c>
      <c r="E322">
        <v>21.680715560913001</v>
      </c>
    </row>
    <row r="323" spans="1:5" x14ac:dyDescent="0.25">
      <c r="A323">
        <v>4.4659996032714799</v>
      </c>
      <c r="B323">
        <v>6.3986954689025799</v>
      </c>
      <c r="C323">
        <f t="shared" si="4"/>
        <v>4.1713775103789988E-5</v>
      </c>
      <c r="D323">
        <v>12049.6982421875</v>
      </c>
      <c r="E323">
        <v>21.681673049926701</v>
      </c>
    </row>
    <row r="324" spans="1:5" x14ac:dyDescent="0.25">
      <c r="A324">
        <v>4.4799995422363201</v>
      </c>
      <c r="B324">
        <v>6.3915705680847097</v>
      </c>
      <c r="C324">
        <f t="shared" si="4"/>
        <v>4.2409445481560495E-5</v>
      </c>
      <c r="D324">
        <v>12092.49609375</v>
      </c>
      <c r="E324">
        <v>21.680397033691399</v>
      </c>
    </row>
    <row r="325" spans="1:5" x14ac:dyDescent="0.25">
      <c r="A325">
        <v>4.4939994812011701</v>
      </c>
      <c r="B325">
        <v>6.3868331909179599</v>
      </c>
      <c r="C325">
        <f t="shared" ref="C325:C388" si="5">(10^-B325)*(100+A325)</f>
        <v>4.2880334159915717E-5</v>
      </c>
      <c r="D325">
        <v>12140.2958984375</v>
      </c>
      <c r="E325">
        <v>21.682949066162099</v>
      </c>
    </row>
    <row r="326" spans="1:5" x14ac:dyDescent="0.25">
      <c r="A326">
        <v>4.5079994201660103</v>
      </c>
      <c r="B326">
        <v>6.38254642486572</v>
      </c>
      <c r="C326">
        <f t="shared" si="5"/>
        <v>4.3311488479831182E-5</v>
      </c>
      <c r="D326">
        <v>12196.396484375</v>
      </c>
      <c r="E326">
        <v>21.677843093871999</v>
      </c>
    </row>
    <row r="327" spans="1:5" x14ac:dyDescent="0.25">
      <c r="A327">
        <v>4.5219993591308496</v>
      </c>
      <c r="B327">
        <v>6.3775868415832502</v>
      </c>
      <c r="C327">
        <f t="shared" si="5"/>
        <v>4.3814803366763932E-5</v>
      </c>
      <c r="D327">
        <v>12240.1962890625</v>
      </c>
      <c r="E327">
        <v>21.682949066162099</v>
      </c>
    </row>
    <row r="328" spans="1:5" x14ac:dyDescent="0.25">
      <c r="A328">
        <v>4.5359992980956996</v>
      </c>
      <c r="B328">
        <v>6.3691339492797798</v>
      </c>
      <c r="C328">
        <f t="shared" si="5"/>
        <v>4.4681930210620535E-5</v>
      </c>
      <c r="D328">
        <v>12300.396484375</v>
      </c>
      <c r="E328">
        <v>21.682949066162099</v>
      </c>
    </row>
    <row r="329" spans="1:5" x14ac:dyDescent="0.25">
      <c r="A329">
        <v>4.5499997138976997</v>
      </c>
      <c r="B329">
        <v>6.3692679405212402</v>
      </c>
      <c r="C329">
        <f t="shared" si="5"/>
        <v>4.4674129155488048E-5</v>
      </c>
      <c r="D329">
        <v>12354.599609375</v>
      </c>
      <c r="E329">
        <v>21.682949066162099</v>
      </c>
    </row>
    <row r="330" spans="1:5" x14ac:dyDescent="0.25">
      <c r="A330">
        <v>4.5639996528625399</v>
      </c>
      <c r="B330">
        <v>6.3636445999145499</v>
      </c>
      <c r="C330">
        <f t="shared" si="5"/>
        <v>4.5262400911835056E-5</v>
      </c>
      <c r="D330">
        <v>12401.1962890625</v>
      </c>
      <c r="E330">
        <v>21.685823440551701</v>
      </c>
    </row>
    <row r="331" spans="1:5" x14ac:dyDescent="0.25">
      <c r="A331">
        <v>4.5779995918273899</v>
      </c>
      <c r="B331">
        <v>6.3564453125</v>
      </c>
      <c r="C331">
        <f t="shared" si="5"/>
        <v>4.6025129349270478E-5</v>
      </c>
      <c r="D331">
        <v>12437.49609375</v>
      </c>
      <c r="E331">
        <v>21.683269500732401</v>
      </c>
    </row>
    <row r="332" spans="1:5" x14ac:dyDescent="0.25">
      <c r="A332">
        <v>4.5919995307922301</v>
      </c>
      <c r="B332">
        <v>6.3492517471313397</v>
      </c>
      <c r="C332">
        <f t="shared" si="5"/>
        <v>4.6800093263785582E-5</v>
      </c>
      <c r="D332">
        <v>12468.6982421875</v>
      </c>
      <c r="E332">
        <v>21.684226989746001</v>
      </c>
    </row>
    <row r="333" spans="1:5" x14ac:dyDescent="0.25">
      <c r="A333">
        <v>4.6059994697570801</v>
      </c>
      <c r="B333">
        <v>6.34102010726928</v>
      </c>
      <c r="C333">
        <f t="shared" si="5"/>
        <v>4.7701988797066439E-5</v>
      </c>
      <c r="D333">
        <v>12501.396484375</v>
      </c>
      <c r="E333">
        <v>21.686780929565401</v>
      </c>
    </row>
    <row r="334" spans="1:5" x14ac:dyDescent="0.25">
      <c r="A334">
        <v>4.6199994087219203</v>
      </c>
      <c r="B334">
        <v>6.3327822685241699</v>
      </c>
      <c r="C334">
        <f t="shared" si="5"/>
        <v>4.8621958097437447E-5</v>
      </c>
      <c r="D334">
        <v>12533.1982421875</v>
      </c>
      <c r="E334">
        <v>21.685823440551701</v>
      </c>
    </row>
    <row r="335" spans="1:5" x14ac:dyDescent="0.25">
      <c r="A335">
        <v>4.6339993476867596</v>
      </c>
      <c r="B335">
        <v>6.3265271186828604</v>
      </c>
      <c r="C335">
        <f t="shared" si="5"/>
        <v>4.933392925141814E-5</v>
      </c>
      <c r="D335">
        <v>12592.896484375</v>
      </c>
      <c r="E335">
        <v>21.686780929565401</v>
      </c>
    </row>
    <row r="336" spans="1:5" x14ac:dyDescent="0.25">
      <c r="A336">
        <v>4.6479997634887598</v>
      </c>
      <c r="B336">
        <v>6.3218598365783603</v>
      </c>
      <c r="C336">
        <f t="shared" si="5"/>
        <v>4.9873643327529942E-5</v>
      </c>
      <c r="D336">
        <v>12653.099609375</v>
      </c>
      <c r="E336">
        <v>21.6880569458007</v>
      </c>
    </row>
    <row r="337" spans="1:5" x14ac:dyDescent="0.25">
      <c r="A337">
        <v>4.6619997024536097</v>
      </c>
      <c r="B337">
        <v>6.3160409927368102</v>
      </c>
      <c r="C337">
        <f t="shared" si="5"/>
        <v>5.0553128297541484E-5</v>
      </c>
      <c r="D337">
        <v>12706.201171875</v>
      </c>
      <c r="E337">
        <v>21.690610885620099</v>
      </c>
    </row>
    <row r="338" spans="1:5" x14ac:dyDescent="0.25">
      <c r="A338">
        <v>4.6759996414184499</v>
      </c>
      <c r="B338">
        <v>6.3085503578186</v>
      </c>
      <c r="C338">
        <f t="shared" si="5"/>
        <v>5.1439502450703602E-5</v>
      </c>
      <c r="D338">
        <v>12739.2001953125</v>
      </c>
      <c r="E338">
        <v>21.6922073364257</v>
      </c>
    </row>
    <row r="339" spans="1:5" x14ac:dyDescent="0.25">
      <c r="A339">
        <v>4.6899995803832999</v>
      </c>
      <c r="B339">
        <v>6.2997131347656197</v>
      </c>
      <c r="C339">
        <f t="shared" si="5"/>
        <v>5.2503960352450268E-5</v>
      </c>
      <c r="D339">
        <v>12773.3994140625</v>
      </c>
      <c r="E339">
        <v>21.690610885620099</v>
      </c>
    </row>
    <row r="340" spans="1:5" x14ac:dyDescent="0.25">
      <c r="A340">
        <v>4.7039995193481401</v>
      </c>
      <c r="B340">
        <v>6.2918381690979004</v>
      </c>
      <c r="C340">
        <f t="shared" si="5"/>
        <v>5.3471836739814999E-5</v>
      </c>
      <c r="D340">
        <v>12828.2998046875</v>
      </c>
      <c r="E340">
        <v>21.690610885620099</v>
      </c>
    </row>
    <row r="341" spans="1:5" x14ac:dyDescent="0.25">
      <c r="A341">
        <v>4.7179994583129803</v>
      </c>
      <c r="B341">
        <v>6.2862210273742596</v>
      </c>
      <c r="C341">
        <f t="shared" si="5"/>
        <v>5.4175173324635679E-5</v>
      </c>
      <c r="D341">
        <v>12886.0966796875</v>
      </c>
      <c r="E341">
        <v>21.690931320190401</v>
      </c>
    </row>
    <row r="342" spans="1:5" x14ac:dyDescent="0.25">
      <c r="A342">
        <v>4.7319993972778303</v>
      </c>
      <c r="B342">
        <v>6.27827596664428</v>
      </c>
      <c r="C342">
        <f t="shared" si="5"/>
        <v>5.5182761234897086E-5</v>
      </c>
      <c r="D342">
        <v>12926.2978515625</v>
      </c>
      <c r="E342">
        <v>21.6922073364257</v>
      </c>
    </row>
    <row r="343" spans="1:5" x14ac:dyDescent="0.25">
      <c r="A343">
        <v>4.7459993362426696</v>
      </c>
      <c r="B343">
        <v>6.2693600654601997</v>
      </c>
      <c r="C343">
        <f t="shared" si="5"/>
        <v>5.6334880715614539E-5</v>
      </c>
      <c r="D343">
        <v>12952.2958984375</v>
      </c>
      <c r="E343">
        <v>21.6922073364257</v>
      </c>
    </row>
    <row r="344" spans="1:5" x14ac:dyDescent="0.25">
      <c r="A344">
        <v>4.7599992752075098</v>
      </c>
      <c r="B344">
        <v>6.2610077857971103</v>
      </c>
      <c r="C344">
        <f t="shared" si="5"/>
        <v>5.7436464748546468E-5</v>
      </c>
      <c r="D344">
        <v>13012.5009765625</v>
      </c>
      <c r="E344">
        <v>21.690931320190401</v>
      </c>
    </row>
    <row r="345" spans="1:5" x14ac:dyDescent="0.25">
      <c r="A345">
        <v>4.7739996910095197</v>
      </c>
      <c r="B345">
        <v>6.2544388771057102</v>
      </c>
      <c r="C345">
        <f t="shared" si="5"/>
        <v>5.8319614701608329E-5</v>
      </c>
      <c r="D345">
        <v>13070.1015625</v>
      </c>
      <c r="E345">
        <v>21.694442749023398</v>
      </c>
    </row>
    <row r="346" spans="1:5" x14ac:dyDescent="0.25">
      <c r="A346">
        <v>4.7879996299743599</v>
      </c>
      <c r="B346">
        <v>6.2469143867492596</v>
      </c>
      <c r="C346">
        <f t="shared" si="5"/>
        <v>5.9346780394498891E-5</v>
      </c>
      <c r="D346">
        <v>13128.49609375</v>
      </c>
      <c r="E346">
        <v>21.694442749023398</v>
      </c>
    </row>
    <row r="347" spans="1:5" x14ac:dyDescent="0.25">
      <c r="A347">
        <v>4.8019995689392001</v>
      </c>
      <c r="B347">
        <v>6.2382998466491699</v>
      </c>
      <c r="C347">
        <f t="shared" si="5"/>
        <v>6.0543806475933086E-5</v>
      </c>
      <c r="D347">
        <v>13168.2001953125</v>
      </c>
      <c r="E347">
        <v>21.6957187652587</v>
      </c>
    </row>
    <row r="348" spans="1:5" x14ac:dyDescent="0.25">
      <c r="A348">
        <v>4.8159995079040501</v>
      </c>
      <c r="B348">
        <v>6.2281494140625</v>
      </c>
      <c r="C348">
        <f t="shared" si="5"/>
        <v>6.1983795470148376E-5</v>
      </c>
      <c r="D348">
        <v>13208.3994140625</v>
      </c>
      <c r="E348">
        <v>21.6922073364257</v>
      </c>
    </row>
    <row r="349" spans="1:5" x14ac:dyDescent="0.25">
      <c r="A349">
        <v>4.8299994468688903</v>
      </c>
      <c r="B349">
        <v>6.2191796302795401</v>
      </c>
      <c r="C349">
        <f t="shared" si="5"/>
        <v>6.3285753195592404E-5</v>
      </c>
      <c r="D349">
        <v>13268.5966796875</v>
      </c>
      <c r="E349">
        <v>21.696039199829102</v>
      </c>
    </row>
    <row r="350" spans="1:5" x14ac:dyDescent="0.25">
      <c r="A350">
        <v>4.8439993858337402</v>
      </c>
      <c r="B350">
        <v>6.21282482147216</v>
      </c>
      <c r="C350">
        <f t="shared" si="5"/>
        <v>6.4227165761908235E-5</v>
      </c>
      <c r="D350">
        <v>13328.7958984375</v>
      </c>
      <c r="E350">
        <v>21.6982727050781</v>
      </c>
    </row>
    <row r="351" spans="1:5" x14ac:dyDescent="0.25">
      <c r="A351">
        <v>4.8579993247985804</v>
      </c>
      <c r="B351">
        <v>6.2032842636108398</v>
      </c>
      <c r="C351">
        <f t="shared" si="5"/>
        <v>6.5662483332419778E-5</v>
      </c>
      <c r="D351">
        <v>13373.7001953125</v>
      </c>
      <c r="E351">
        <v>21.6957187652587</v>
      </c>
    </row>
    <row r="352" spans="1:5" x14ac:dyDescent="0.25">
      <c r="A352">
        <v>4.8719997406005797</v>
      </c>
      <c r="B352">
        <v>6.1930031776428196</v>
      </c>
      <c r="C352">
        <f t="shared" si="5"/>
        <v>6.724443853387334E-5</v>
      </c>
      <c r="D352">
        <v>13419.0966796875</v>
      </c>
      <c r="E352">
        <v>21.6982727050781</v>
      </c>
    </row>
    <row r="353" spans="1:5" x14ac:dyDescent="0.25">
      <c r="A353">
        <v>4.8859996795654297</v>
      </c>
      <c r="B353">
        <v>6.1833972930908203</v>
      </c>
      <c r="C353">
        <f t="shared" si="5"/>
        <v>6.8757523950293978E-5</v>
      </c>
      <c r="D353">
        <v>13479.2998046875</v>
      </c>
      <c r="E353">
        <v>21.698593139648398</v>
      </c>
    </row>
    <row r="354" spans="1:5" x14ac:dyDescent="0.25">
      <c r="A354">
        <v>4.8999996185302699</v>
      </c>
      <c r="B354">
        <v>6.1730484962463299</v>
      </c>
      <c r="C354">
        <f t="shared" si="5"/>
        <v>7.0425021844533416E-5</v>
      </c>
      <c r="D354">
        <v>13517.49609375</v>
      </c>
      <c r="E354">
        <v>21.698593139648398</v>
      </c>
    </row>
    <row r="355" spans="1:5" x14ac:dyDescent="0.25">
      <c r="A355">
        <v>4.9139995574951101</v>
      </c>
      <c r="B355">
        <v>6.1624522209167401</v>
      </c>
      <c r="C355">
        <f t="shared" si="5"/>
        <v>7.2174074358837139E-5</v>
      </c>
      <c r="D355">
        <v>13568.400390625</v>
      </c>
      <c r="E355">
        <v>21.698593139648398</v>
      </c>
    </row>
    <row r="356" spans="1:5" x14ac:dyDescent="0.25">
      <c r="A356">
        <v>4.92799949645996</v>
      </c>
      <c r="B356">
        <v>6.1513533592224103</v>
      </c>
      <c r="C356">
        <f t="shared" si="5"/>
        <v>7.4052211642125566E-5</v>
      </c>
      <c r="D356">
        <v>13608.6005859375</v>
      </c>
      <c r="E356">
        <v>21.699550628662099</v>
      </c>
    </row>
    <row r="357" spans="1:5" x14ac:dyDescent="0.25">
      <c r="A357">
        <v>4.9419994354248002</v>
      </c>
      <c r="B357">
        <v>6.1388068199157697</v>
      </c>
      <c r="C357">
        <f t="shared" si="5"/>
        <v>7.6232912869703939E-5</v>
      </c>
      <c r="D357">
        <v>13652.49609375</v>
      </c>
      <c r="E357">
        <v>21.698593139648398</v>
      </c>
    </row>
    <row r="358" spans="1:5" x14ac:dyDescent="0.25">
      <c r="A358">
        <v>4.9559993743896396</v>
      </c>
      <c r="B358">
        <v>6.1260285377502397</v>
      </c>
      <c r="C358">
        <f t="shared" si="5"/>
        <v>7.8519717880423345E-5</v>
      </c>
      <c r="D358">
        <v>13691.498046875</v>
      </c>
      <c r="E358">
        <v>21.6998691558837</v>
      </c>
    </row>
    <row r="359" spans="1:5" x14ac:dyDescent="0.25">
      <c r="A359">
        <v>4.9699993133544904</v>
      </c>
      <c r="B359">
        <v>6.1137490272521902</v>
      </c>
      <c r="C359">
        <f t="shared" si="5"/>
        <v>8.0782291266528786E-5</v>
      </c>
      <c r="D359">
        <v>13744.896484375</v>
      </c>
      <c r="E359">
        <v>21.698593139648398</v>
      </c>
    </row>
    <row r="360" spans="1:5" x14ac:dyDescent="0.25">
      <c r="A360">
        <v>4.9839992523193297</v>
      </c>
      <c r="B360">
        <v>6.1016821861267001</v>
      </c>
      <c r="C360">
        <f t="shared" si="5"/>
        <v>8.3069371878767838E-5</v>
      </c>
      <c r="D360">
        <v>13782.3017578125</v>
      </c>
      <c r="E360">
        <v>21.6998691558837</v>
      </c>
    </row>
    <row r="361" spans="1:5" x14ac:dyDescent="0.25">
      <c r="A361">
        <v>4.9979996681213299</v>
      </c>
      <c r="B361">
        <v>6.0863370895385698</v>
      </c>
      <c r="C361">
        <f t="shared" si="5"/>
        <v>8.6068440872499982E-5</v>
      </c>
      <c r="D361">
        <v>13819.5966796875</v>
      </c>
      <c r="E361">
        <v>21.696996688842699</v>
      </c>
    </row>
    <row r="362" spans="1:5" x14ac:dyDescent="0.25">
      <c r="A362">
        <v>5.0119996070861799</v>
      </c>
      <c r="B362">
        <v>6.0727939605712802</v>
      </c>
      <c r="C362">
        <f t="shared" si="5"/>
        <v>8.88065436582801E-5</v>
      </c>
      <c r="D362">
        <v>13870.3974609375</v>
      </c>
      <c r="E362">
        <v>21.701147079467699</v>
      </c>
    </row>
    <row r="363" spans="1:5" x14ac:dyDescent="0.25">
      <c r="A363">
        <v>5.0259995460510201</v>
      </c>
      <c r="B363">
        <v>6.0589909553527797</v>
      </c>
      <c r="C363">
        <f t="shared" si="5"/>
        <v>9.1686599991698647E-5</v>
      </c>
      <c r="D363">
        <v>13921.896484375</v>
      </c>
      <c r="E363">
        <v>21.696996688842699</v>
      </c>
    </row>
    <row r="364" spans="1:5" x14ac:dyDescent="0.25">
      <c r="A364">
        <v>5.0399994850158603</v>
      </c>
      <c r="B364">
        <v>6.0449051856994602</v>
      </c>
      <c r="C364">
        <f t="shared" si="5"/>
        <v>9.472170902625053E-5</v>
      </c>
      <c r="D364">
        <v>13967.1005859375</v>
      </c>
      <c r="E364">
        <v>21.698593139648398</v>
      </c>
    </row>
    <row r="365" spans="1:5" x14ac:dyDescent="0.25">
      <c r="A365">
        <v>5.0539994239807102</v>
      </c>
      <c r="B365">
        <v>6.0299167633056596</v>
      </c>
      <c r="C365">
        <f t="shared" si="5"/>
        <v>9.8060889285444145E-5</v>
      </c>
      <c r="D365">
        <v>14017.6962890625</v>
      </c>
      <c r="E365">
        <v>21.6982727050781</v>
      </c>
    </row>
    <row r="366" spans="1:5" x14ac:dyDescent="0.25">
      <c r="A366">
        <v>5.0679993629455504</v>
      </c>
      <c r="B366">
        <v>6.0143504142761204</v>
      </c>
      <c r="C366">
        <f t="shared" si="5"/>
        <v>1.0165296450917261E-4</v>
      </c>
      <c r="D366">
        <v>14055.6005859375</v>
      </c>
      <c r="E366">
        <v>21.701147079467699</v>
      </c>
    </row>
    <row r="367" spans="1:5" x14ac:dyDescent="0.25">
      <c r="A367">
        <v>5.0819993019104004</v>
      </c>
      <c r="B367">
        <v>5.9974913597106898</v>
      </c>
      <c r="C367">
        <f t="shared" si="5"/>
        <v>1.0569074700086806E-4</v>
      </c>
      <c r="D367">
        <v>14109.49609375</v>
      </c>
      <c r="E367">
        <v>21.7024230957031</v>
      </c>
    </row>
    <row r="368" spans="1:5" x14ac:dyDescent="0.25">
      <c r="A368">
        <v>5.0959997177123997</v>
      </c>
      <c r="B368">
        <v>5.9808750152587802</v>
      </c>
      <c r="C368">
        <f t="shared" si="5"/>
        <v>1.0982751835876144E-4</v>
      </c>
      <c r="D368">
        <v>14155.5009765625</v>
      </c>
      <c r="E368">
        <v>21.702104568481399</v>
      </c>
    </row>
    <row r="369" spans="1:5" x14ac:dyDescent="0.25">
      <c r="A369">
        <v>5.1099996566772399</v>
      </c>
      <c r="B369">
        <v>5.96390581130981</v>
      </c>
      <c r="C369">
        <f t="shared" si="5"/>
        <v>1.1421896576016917E-4</v>
      </c>
      <c r="D369">
        <v>14203.2001953125</v>
      </c>
      <c r="E369">
        <v>21.701147079467699</v>
      </c>
    </row>
    <row r="370" spans="1:5" x14ac:dyDescent="0.25">
      <c r="A370">
        <v>5.1239995956420898</v>
      </c>
      <c r="B370">
        <v>5.9458193778991699</v>
      </c>
      <c r="C370">
        <f t="shared" si="5"/>
        <v>1.1909197511388867E-4</v>
      </c>
      <c r="D370">
        <v>14252.2958984375</v>
      </c>
      <c r="E370">
        <v>21.702104568481399</v>
      </c>
    </row>
    <row r="371" spans="1:5" x14ac:dyDescent="0.25">
      <c r="A371">
        <v>5.13799953460693</v>
      </c>
      <c r="B371">
        <v>5.9270672798156703</v>
      </c>
      <c r="C371">
        <f t="shared" si="5"/>
        <v>1.24363354982728E-4</v>
      </c>
      <c r="D371">
        <v>14287.8974609375</v>
      </c>
      <c r="E371">
        <v>21.701147079467699</v>
      </c>
    </row>
    <row r="372" spans="1:5" x14ac:dyDescent="0.25">
      <c r="A372">
        <v>5.1519994735717702</v>
      </c>
      <c r="B372">
        <v>5.9055390357971103</v>
      </c>
      <c r="C372">
        <f t="shared" si="5"/>
        <v>1.3070087632313242E-4</v>
      </c>
      <c r="D372">
        <v>14323.798828125</v>
      </c>
      <c r="E372">
        <v>21.7024230957031</v>
      </c>
    </row>
    <row r="373" spans="1:5" x14ac:dyDescent="0.25">
      <c r="A373">
        <v>5.1659994125366202</v>
      </c>
      <c r="B373">
        <v>5.8825407028198198</v>
      </c>
      <c r="C373">
        <f t="shared" si="5"/>
        <v>1.3782711022822358E-4</v>
      </c>
      <c r="D373">
        <v>14365.3974609375</v>
      </c>
      <c r="E373">
        <v>21.7046585083007</v>
      </c>
    </row>
    <row r="374" spans="1:5" x14ac:dyDescent="0.25">
      <c r="A374">
        <v>5.1799993515014604</v>
      </c>
      <c r="B374">
        <v>5.8598337173461896</v>
      </c>
      <c r="C374">
        <f t="shared" si="5"/>
        <v>1.4524441658730691E-4</v>
      </c>
      <c r="D374">
        <v>14413.798828125</v>
      </c>
      <c r="E374">
        <v>21.7046585083007</v>
      </c>
    </row>
    <row r="375" spans="1:5" x14ac:dyDescent="0.25">
      <c r="A375">
        <v>5.1939992904662997</v>
      </c>
      <c r="B375">
        <v>5.8364830017089799</v>
      </c>
      <c r="C375">
        <f t="shared" si="5"/>
        <v>1.5328793186352981E-4</v>
      </c>
      <c r="D375">
        <v>14467.7998046875</v>
      </c>
      <c r="E375">
        <v>21.703380584716701</v>
      </c>
    </row>
    <row r="376" spans="1:5" x14ac:dyDescent="0.25">
      <c r="A376">
        <v>5.2079992294311497</v>
      </c>
      <c r="B376">
        <v>5.8133282661437899</v>
      </c>
      <c r="C376">
        <f t="shared" si="5"/>
        <v>1.617039003792714E-4</v>
      </c>
      <c r="D376">
        <v>14504.498046875</v>
      </c>
      <c r="E376">
        <v>21.704977035522401</v>
      </c>
    </row>
    <row r="377" spans="1:5" x14ac:dyDescent="0.25">
      <c r="A377">
        <v>5.2219996452331499</v>
      </c>
      <c r="B377">
        <v>5.7856163978576598</v>
      </c>
      <c r="C377">
        <f t="shared" si="5"/>
        <v>1.7238130057747373E-4</v>
      </c>
      <c r="D377">
        <v>14547.197265625</v>
      </c>
      <c r="E377">
        <v>21.703380584716701</v>
      </c>
    </row>
    <row r="378" spans="1:5" x14ac:dyDescent="0.25">
      <c r="A378">
        <v>5.2359995841979901</v>
      </c>
      <c r="B378">
        <v>5.7574868202209402</v>
      </c>
      <c r="C378">
        <f t="shared" si="5"/>
        <v>1.8394056254016121E-4</v>
      </c>
      <c r="D378">
        <v>14586.498046875</v>
      </c>
      <c r="E378">
        <v>21.708488464355401</v>
      </c>
    </row>
    <row r="379" spans="1:5" x14ac:dyDescent="0.25">
      <c r="A379">
        <v>5.24999952316284</v>
      </c>
      <c r="B379">
        <v>5.7254586219787598</v>
      </c>
      <c r="C379">
        <f t="shared" si="5"/>
        <v>1.9804481678359476E-4</v>
      </c>
      <c r="D379">
        <v>14639.197265625</v>
      </c>
      <c r="E379">
        <v>21.704977035522401</v>
      </c>
    </row>
    <row r="380" spans="1:5" x14ac:dyDescent="0.25">
      <c r="A380">
        <v>5.2639994621276802</v>
      </c>
      <c r="B380">
        <v>5.6952481269836399</v>
      </c>
      <c r="C380">
        <f t="shared" si="5"/>
        <v>2.1233996422452515E-4</v>
      </c>
      <c r="D380">
        <v>14678.7978515625</v>
      </c>
      <c r="E380">
        <v>21.704977035522401</v>
      </c>
    </row>
    <row r="381" spans="1:5" x14ac:dyDescent="0.25">
      <c r="A381">
        <v>5.2779994010925204</v>
      </c>
      <c r="B381">
        <v>5.6611766815185502</v>
      </c>
      <c r="C381">
        <f t="shared" si="5"/>
        <v>2.2969997182646152E-4</v>
      </c>
      <c r="D381">
        <v>14709.49609375</v>
      </c>
      <c r="E381">
        <v>21.705934524536101</v>
      </c>
    </row>
    <row r="382" spans="1:5" x14ac:dyDescent="0.25">
      <c r="A382">
        <v>5.2919993400573704</v>
      </c>
      <c r="B382">
        <v>5.6191816329956001</v>
      </c>
      <c r="C382">
        <f t="shared" si="5"/>
        <v>2.5305431047000052E-4</v>
      </c>
      <c r="D382">
        <v>14756.400390625</v>
      </c>
      <c r="E382">
        <v>21.707530975341701</v>
      </c>
    </row>
    <row r="383" spans="1:5" x14ac:dyDescent="0.25">
      <c r="A383">
        <v>5.3059992790222097</v>
      </c>
      <c r="B383">
        <v>5.5768952369689897</v>
      </c>
      <c r="C383">
        <f t="shared" si="5"/>
        <v>2.7897024038823787E-4</v>
      </c>
      <c r="D383">
        <v>14816.5966796875</v>
      </c>
      <c r="E383">
        <v>21.708488464355401</v>
      </c>
    </row>
    <row r="384" spans="1:5" x14ac:dyDescent="0.25">
      <c r="A384">
        <v>5.3199996948242099</v>
      </c>
      <c r="B384">
        <v>5.5343937873840297</v>
      </c>
      <c r="C384">
        <f t="shared" si="5"/>
        <v>3.0769260722013364E-4</v>
      </c>
      <c r="D384">
        <v>14866.2001953125</v>
      </c>
      <c r="E384">
        <v>21.704977035522401</v>
      </c>
    </row>
    <row r="385" spans="1:5" x14ac:dyDescent="0.25">
      <c r="A385">
        <v>5.3339996337890598</v>
      </c>
      <c r="B385">
        <v>5.4839339256286603</v>
      </c>
      <c r="C385">
        <f t="shared" si="5"/>
        <v>3.4564847844933987E-4</v>
      </c>
      <c r="D385">
        <v>14926.3974609375</v>
      </c>
      <c r="E385">
        <v>21.705934524536101</v>
      </c>
    </row>
    <row r="386" spans="1:5" x14ac:dyDescent="0.25">
      <c r="A386">
        <v>5.3479995727539</v>
      </c>
      <c r="B386">
        <v>5.4290175437927202</v>
      </c>
      <c r="C386">
        <f t="shared" si="5"/>
        <v>3.9229136576228479E-4</v>
      </c>
      <c r="D386">
        <v>14986.595703125</v>
      </c>
      <c r="E386">
        <v>21.705934524536101</v>
      </c>
    </row>
    <row r="387" spans="1:5" x14ac:dyDescent="0.25">
      <c r="A387">
        <v>5.36199951171875</v>
      </c>
      <c r="B387">
        <v>5.3654856681823704</v>
      </c>
      <c r="C387">
        <f t="shared" si="5"/>
        <v>4.5414897223370503E-4</v>
      </c>
      <c r="D387">
        <v>15046.7998046875</v>
      </c>
      <c r="E387">
        <v>21.706254959106399</v>
      </c>
    </row>
    <row r="388" spans="1:5" x14ac:dyDescent="0.25">
      <c r="A388">
        <v>5.3759994506835902</v>
      </c>
      <c r="B388">
        <v>5.2929663658142001</v>
      </c>
      <c r="C388">
        <f t="shared" si="5"/>
        <v>5.3675406350475177E-4</v>
      </c>
      <c r="D388">
        <v>15106.9970703125</v>
      </c>
      <c r="E388">
        <v>21.708488464355401</v>
      </c>
    </row>
    <row r="389" spans="1:5" x14ac:dyDescent="0.25">
      <c r="A389">
        <v>5.3899993896484304</v>
      </c>
      <c r="B389">
        <v>5.2056393623351997</v>
      </c>
      <c r="C389">
        <f t="shared" ref="C389:C441" si="6">(10^-B389)*(100+A389)</f>
        <v>6.563871036302793E-4</v>
      </c>
      <c r="D389">
        <v>15167.197265625</v>
      </c>
      <c r="E389">
        <v>21.711042404174801</v>
      </c>
    </row>
    <row r="390" spans="1:5" x14ac:dyDescent="0.25">
      <c r="A390">
        <v>5.4039993286132804</v>
      </c>
      <c r="B390">
        <v>5.1351294517517001</v>
      </c>
      <c r="C390">
        <f t="shared" si="6"/>
        <v>7.7219616033587582E-4</v>
      </c>
      <c r="D390">
        <v>15220.6982421875</v>
      </c>
      <c r="E390">
        <v>21.711042404174801</v>
      </c>
    </row>
    <row r="391" spans="1:5" x14ac:dyDescent="0.25">
      <c r="A391">
        <v>5.4179992675781197</v>
      </c>
      <c r="B391">
        <v>5.1400151252746502</v>
      </c>
      <c r="C391">
        <f t="shared" si="6"/>
        <v>7.636592984832754E-4</v>
      </c>
      <c r="D391">
        <v>15250.2001953125</v>
      </c>
      <c r="E391">
        <v>21.711042404174801</v>
      </c>
    </row>
    <row r="392" spans="1:5" x14ac:dyDescent="0.25">
      <c r="A392">
        <v>5.4319992065429599</v>
      </c>
      <c r="B392">
        <v>5.1492810249328604</v>
      </c>
      <c r="C392">
        <f t="shared" si="6"/>
        <v>7.4763808562134109E-4</v>
      </c>
      <c r="D392">
        <v>15310.3974609375</v>
      </c>
      <c r="E392">
        <v>21.711042404174801</v>
      </c>
    </row>
    <row r="393" spans="1:5" x14ac:dyDescent="0.25">
      <c r="A393">
        <v>5.4459996223449698</v>
      </c>
      <c r="B393">
        <v>4.8231320381164497</v>
      </c>
      <c r="C393">
        <f t="shared" si="6"/>
        <v>1.5845212582361698E-3</v>
      </c>
      <c r="D393">
        <v>15370.595703125</v>
      </c>
      <c r="E393">
        <v>21.711362838745099</v>
      </c>
    </row>
    <row r="394" spans="1:5" x14ac:dyDescent="0.25">
      <c r="A394">
        <v>5.45999956130981</v>
      </c>
      <c r="B394">
        <v>4.62058353424072</v>
      </c>
      <c r="C394">
        <f t="shared" si="6"/>
        <v>2.5264123226193592E-3</v>
      </c>
      <c r="D394">
        <v>15430.7998046875</v>
      </c>
      <c r="E394">
        <v>21.7088088989257</v>
      </c>
    </row>
    <row r="395" spans="1:5" x14ac:dyDescent="0.25">
      <c r="A395">
        <v>5.4739995002746502</v>
      </c>
      <c r="B395">
        <v>4.48093557357788</v>
      </c>
      <c r="C395">
        <f t="shared" si="6"/>
        <v>3.4850566410863522E-3</v>
      </c>
      <c r="D395">
        <v>15490.9970703125</v>
      </c>
      <c r="E395">
        <v>21.712638854980401</v>
      </c>
    </row>
    <row r="396" spans="1:5" x14ac:dyDescent="0.25">
      <c r="A396">
        <v>5.4879994392395002</v>
      </c>
      <c r="B396">
        <v>4.3605022430419904</v>
      </c>
      <c r="C396">
        <f t="shared" si="6"/>
        <v>4.5993961044779041E-3</v>
      </c>
      <c r="D396">
        <v>15551.197265625</v>
      </c>
      <c r="E396">
        <v>21.712638854980401</v>
      </c>
    </row>
    <row r="397" spans="1:5" x14ac:dyDescent="0.25">
      <c r="A397">
        <v>5.5019993782043404</v>
      </c>
      <c r="B397">
        <v>4.2560749053954998</v>
      </c>
      <c r="C397">
        <f t="shared" si="6"/>
        <v>5.850403020951524E-3</v>
      </c>
      <c r="D397">
        <v>15611.3994140625</v>
      </c>
      <c r="E397">
        <v>21.716150283813398</v>
      </c>
    </row>
    <row r="398" spans="1:5" x14ac:dyDescent="0.25">
      <c r="A398">
        <v>5.5159993171691797</v>
      </c>
      <c r="B398">
        <v>4.1670207977294904</v>
      </c>
      <c r="C398">
        <f t="shared" si="6"/>
        <v>7.1828619336868202E-3</v>
      </c>
      <c r="D398">
        <v>15671.5966796875</v>
      </c>
      <c r="E398">
        <v>21.717746734619102</v>
      </c>
    </row>
    <row r="399" spans="1:5" x14ac:dyDescent="0.25">
      <c r="A399">
        <v>5.5299992561340297</v>
      </c>
      <c r="B399">
        <v>4.09278964996337</v>
      </c>
      <c r="C399">
        <f t="shared" si="6"/>
        <v>8.522878260980785E-3</v>
      </c>
      <c r="D399">
        <v>15731.7978515625</v>
      </c>
      <c r="E399">
        <v>21.715192794799801</v>
      </c>
    </row>
    <row r="400" spans="1:5" x14ac:dyDescent="0.25">
      <c r="A400">
        <v>5.5439996719360298</v>
      </c>
      <c r="B400">
        <v>4.0281958580017001</v>
      </c>
      <c r="C400">
        <f t="shared" si="6"/>
        <v>9.890942794602741E-3</v>
      </c>
      <c r="D400">
        <v>15792.0009765625</v>
      </c>
      <c r="E400">
        <v>21.7148742675781</v>
      </c>
    </row>
    <row r="401" spans="1:5" x14ac:dyDescent="0.25">
      <c r="A401">
        <v>5.55799961090087</v>
      </c>
      <c r="B401">
        <v>3.9715998172760001</v>
      </c>
      <c r="C401">
        <f t="shared" si="6"/>
        <v>1.1269154528497397E-2</v>
      </c>
      <c r="D401">
        <v>15852.1953125</v>
      </c>
      <c r="E401">
        <v>21.717746734619102</v>
      </c>
    </row>
    <row r="402" spans="1:5" x14ac:dyDescent="0.25">
      <c r="A402">
        <v>5.57199954986572</v>
      </c>
      <c r="B402">
        <v>3.9201056957244802</v>
      </c>
      <c r="C402">
        <f t="shared" si="6"/>
        <v>1.2689457382810149E-2</v>
      </c>
      <c r="D402">
        <v>15912.3974609375</v>
      </c>
      <c r="E402">
        <v>21.717428207397401</v>
      </c>
    </row>
    <row r="403" spans="1:5" x14ac:dyDescent="0.25">
      <c r="A403">
        <v>5.5859994888305602</v>
      </c>
      <c r="B403">
        <v>3.8745338916778498</v>
      </c>
      <c r="C403">
        <f t="shared" si="6"/>
        <v>1.4095238983072597E-2</v>
      </c>
      <c r="D403">
        <v>15972.6005859375</v>
      </c>
      <c r="E403">
        <v>21.717746734619102</v>
      </c>
    </row>
    <row r="404" spans="1:5" x14ac:dyDescent="0.25">
      <c r="A404">
        <v>5.5999994277954102</v>
      </c>
      <c r="B404">
        <v>3.8320567607879599</v>
      </c>
      <c r="C404">
        <f t="shared" si="6"/>
        <v>1.5545588054029084E-2</v>
      </c>
      <c r="D404">
        <v>16032.7978515625</v>
      </c>
      <c r="E404">
        <v>21.720300674438398</v>
      </c>
    </row>
    <row r="405" spans="1:5" x14ac:dyDescent="0.25">
      <c r="A405">
        <v>5.6139993667602504</v>
      </c>
      <c r="B405">
        <v>3.7934050559997501</v>
      </c>
      <c r="C405">
        <f t="shared" si="6"/>
        <v>1.6994814661143224E-2</v>
      </c>
      <c r="D405">
        <v>16091.49609375</v>
      </c>
      <c r="E405">
        <v>21.7190246582031</v>
      </c>
    </row>
    <row r="406" spans="1:5" x14ac:dyDescent="0.25">
      <c r="A406">
        <v>5.6279993057250897</v>
      </c>
      <c r="B406">
        <v>3.7574906349182098</v>
      </c>
      <c r="C406">
        <f t="shared" si="6"/>
        <v>1.8462411180177409E-2</v>
      </c>
      <c r="D406">
        <v>16151.7001953125</v>
      </c>
      <c r="E406">
        <v>21.720300674438398</v>
      </c>
    </row>
    <row r="407" spans="1:5" x14ac:dyDescent="0.25">
      <c r="A407">
        <v>5.6419992446899396</v>
      </c>
      <c r="B407">
        <v>3.72551369667053</v>
      </c>
      <c r="C407">
        <f t="shared" si="6"/>
        <v>1.9875722053296192E-2</v>
      </c>
      <c r="D407">
        <v>16209.0986328125</v>
      </c>
      <c r="E407">
        <v>21.718704223632798</v>
      </c>
    </row>
    <row r="408" spans="1:5" x14ac:dyDescent="0.25">
      <c r="A408">
        <v>5.6559991836547798</v>
      </c>
      <c r="B408">
        <v>3.6961026191711399</v>
      </c>
      <c r="C408">
        <f t="shared" si="6"/>
        <v>2.1271178022763189E-2</v>
      </c>
      <c r="D408">
        <v>16261.9970703125</v>
      </c>
      <c r="E408">
        <v>21.716150283813398</v>
      </c>
    </row>
    <row r="409" spans="1:5" x14ac:dyDescent="0.25">
      <c r="A409">
        <v>5.66999959945678</v>
      </c>
      <c r="B409">
        <v>3.6684401035308798</v>
      </c>
      <c r="C409">
        <f t="shared" si="6"/>
        <v>2.2673136479816048E-2</v>
      </c>
      <c r="D409">
        <v>16312.2021484375</v>
      </c>
      <c r="E409">
        <v>21.716150283813398</v>
      </c>
    </row>
    <row r="410" spans="1:5" x14ac:dyDescent="0.25">
      <c r="A410">
        <v>5.68399953842163</v>
      </c>
      <c r="B410">
        <v>3.64259529113769</v>
      </c>
      <c r="C410">
        <f t="shared" si="6"/>
        <v>2.4066556196378916E-2</v>
      </c>
      <c r="D410">
        <v>16360.3974609375</v>
      </c>
      <c r="E410">
        <v>21.717428207397401</v>
      </c>
    </row>
    <row r="411" spans="1:5" x14ac:dyDescent="0.25">
      <c r="A411">
        <v>5.6979994773864702</v>
      </c>
      <c r="B411">
        <v>3.61881232261657</v>
      </c>
      <c r="C411">
        <f t="shared" si="6"/>
        <v>2.5424618498813587E-2</v>
      </c>
      <c r="D411">
        <v>16401.298828125</v>
      </c>
      <c r="E411">
        <v>21.718704223632798</v>
      </c>
    </row>
    <row r="412" spans="1:5" x14ac:dyDescent="0.25">
      <c r="A412">
        <v>5.7119994163513104</v>
      </c>
      <c r="B412">
        <v>3.5949113368988002</v>
      </c>
      <c r="C412">
        <f t="shared" si="6"/>
        <v>2.6866614892651023E-2</v>
      </c>
      <c r="D412">
        <v>16446.599609375</v>
      </c>
      <c r="E412">
        <v>21.717746734619102</v>
      </c>
    </row>
    <row r="413" spans="1:5" x14ac:dyDescent="0.25">
      <c r="A413">
        <v>5.7259993553161603</v>
      </c>
      <c r="B413">
        <v>3.5725781917571999</v>
      </c>
      <c r="C413">
        <f t="shared" si="6"/>
        <v>2.8288088834306942E-2</v>
      </c>
      <c r="D413">
        <v>16489.697265625</v>
      </c>
      <c r="E413">
        <v>21.718704223632798</v>
      </c>
    </row>
    <row r="414" spans="1:5" x14ac:dyDescent="0.25">
      <c r="A414">
        <v>5.7399992942809996</v>
      </c>
      <c r="B414">
        <v>3.5505039691925</v>
      </c>
      <c r="C414">
        <f t="shared" si="6"/>
        <v>2.9767018267316103E-2</v>
      </c>
      <c r="D414">
        <v>16537.095703125</v>
      </c>
      <c r="E414">
        <v>21.716150283813398</v>
      </c>
    </row>
    <row r="415" spans="1:5" x14ac:dyDescent="0.25">
      <c r="A415">
        <v>5.7539992332458496</v>
      </c>
      <c r="B415">
        <v>3.5311241149902299</v>
      </c>
      <c r="C415">
        <f t="shared" si="6"/>
        <v>3.1129538683593281E-2</v>
      </c>
      <c r="D415">
        <v>16574.89453125</v>
      </c>
      <c r="E415">
        <v>21.721258163452099</v>
      </c>
    </row>
    <row r="416" spans="1:5" x14ac:dyDescent="0.25">
      <c r="A416">
        <v>5.7679996490478498</v>
      </c>
      <c r="B416">
        <v>3.5104291439056299</v>
      </c>
      <c r="C416">
        <f t="shared" si="6"/>
        <v>3.2653154775174054E-2</v>
      </c>
      <c r="D416">
        <v>16620.796875</v>
      </c>
      <c r="E416">
        <v>21.721258163452099</v>
      </c>
    </row>
    <row r="417" spans="1:5" x14ac:dyDescent="0.25">
      <c r="A417">
        <v>5.78199958801269</v>
      </c>
      <c r="B417">
        <v>3.49147605895996</v>
      </c>
      <c r="C417">
        <f t="shared" si="6"/>
        <v>3.4114241002168116E-2</v>
      </c>
      <c r="D417">
        <v>16668.49609375</v>
      </c>
      <c r="E417">
        <v>21.721258163452099</v>
      </c>
    </row>
    <row r="418" spans="1:5" x14ac:dyDescent="0.25">
      <c r="A418">
        <v>5.7959995269775302</v>
      </c>
      <c r="B418">
        <v>3.4735984802246</v>
      </c>
      <c r="C418">
        <f t="shared" si="6"/>
        <v>3.555255081026603E-2</v>
      </c>
      <c r="D418">
        <v>16713.30078125</v>
      </c>
      <c r="E418">
        <v>21.721578598022401</v>
      </c>
    </row>
    <row r="419" spans="1:5" x14ac:dyDescent="0.25">
      <c r="A419">
        <v>5.8099994659423801</v>
      </c>
      <c r="B419">
        <v>3.4566042423248202</v>
      </c>
      <c r="C419">
        <f t="shared" si="6"/>
        <v>3.6976216404956401E-2</v>
      </c>
      <c r="D419">
        <v>16755.599609375</v>
      </c>
      <c r="E419">
        <v>21.722536087036101</v>
      </c>
    </row>
    <row r="420" spans="1:5" x14ac:dyDescent="0.25">
      <c r="A420">
        <v>5.8239994049072203</v>
      </c>
      <c r="B420">
        <v>3.4400985240936199</v>
      </c>
      <c r="C420">
        <f t="shared" si="6"/>
        <v>3.8413656337088015E-2</v>
      </c>
      <c r="D420">
        <v>16796.796875</v>
      </c>
      <c r="E420">
        <v>21.723812103271399</v>
      </c>
    </row>
    <row r="421" spans="1:5" x14ac:dyDescent="0.25">
      <c r="A421">
        <v>5.8379993438720703</v>
      </c>
      <c r="B421">
        <v>3.42327880859375</v>
      </c>
      <c r="C421">
        <f t="shared" si="6"/>
        <v>3.9935839033728472E-2</v>
      </c>
      <c r="D421">
        <v>16841.69921875</v>
      </c>
      <c r="E421">
        <v>21.723812103271399</v>
      </c>
    </row>
    <row r="422" spans="1:5" x14ac:dyDescent="0.25">
      <c r="A422">
        <v>5.8519992828369096</v>
      </c>
      <c r="B422">
        <v>3.4081947803497301</v>
      </c>
      <c r="C422">
        <f t="shared" si="6"/>
        <v>4.1352739426870136E-2</v>
      </c>
      <c r="D422">
        <v>16883.400390625</v>
      </c>
      <c r="E422">
        <v>21.724132537841701</v>
      </c>
    </row>
    <row r="423" spans="1:5" x14ac:dyDescent="0.25">
      <c r="A423">
        <v>5.8659992218017498</v>
      </c>
      <c r="B423">
        <v>3.3937726020812899</v>
      </c>
      <c r="C423">
        <f t="shared" si="6"/>
        <v>4.2754703491480313E-2</v>
      </c>
      <c r="D423">
        <v>16916.89453125</v>
      </c>
      <c r="E423">
        <v>21.723812103271399</v>
      </c>
    </row>
    <row r="424" spans="1:5" x14ac:dyDescent="0.25">
      <c r="A424">
        <v>5.8799991607665998</v>
      </c>
      <c r="B424">
        <v>3.3792409896850502</v>
      </c>
      <c r="C424">
        <f t="shared" si="6"/>
        <v>4.4215337003761991E-2</v>
      </c>
      <c r="D424">
        <v>16954.396484375</v>
      </c>
      <c r="E424">
        <v>21.723812103271399</v>
      </c>
    </row>
    <row r="425" spans="1:5" x14ac:dyDescent="0.25">
      <c r="A425">
        <v>5.8939995765686</v>
      </c>
      <c r="B425">
        <v>3.3644046783447199</v>
      </c>
      <c r="C425">
        <f t="shared" si="6"/>
        <v>4.5757962010960808E-2</v>
      </c>
      <c r="D425">
        <v>16998</v>
      </c>
      <c r="E425">
        <v>21.727643966674801</v>
      </c>
    </row>
    <row r="426" spans="1:5" x14ac:dyDescent="0.25">
      <c r="A426">
        <v>5.9079995155334402</v>
      </c>
      <c r="B426">
        <v>3.3513729572296098</v>
      </c>
      <c r="C426">
        <f t="shared" si="6"/>
        <v>4.7158046629749518E-2</v>
      </c>
      <c r="D426">
        <v>17034.30078125</v>
      </c>
      <c r="E426">
        <v>21.7263679504394</v>
      </c>
    </row>
    <row r="427" spans="1:5" x14ac:dyDescent="0.25">
      <c r="A427">
        <v>5.9219994544982901</v>
      </c>
      <c r="B427">
        <v>3.3381869792938201</v>
      </c>
      <c r="C427">
        <f t="shared" si="6"/>
        <v>4.8618235270964191E-2</v>
      </c>
      <c r="D427">
        <v>17070.30078125</v>
      </c>
      <c r="E427">
        <v>21.722536087036101</v>
      </c>
    </row>
    <row r="428" spans="1:5" x14ac:dyDescent="0.25">
      <c r="A428">
        <v>5.9359993934631303</v>
      </c>
      <c r="B428">
        <v>3.3261852264404199</v>
      </c>
      <c r="C428">
        <f t="shared" si="6"/>
        <v>4.9987146006146954E-2</v>
      </c>
      <c r="D428">
        <v>17099.1953125</v>
      </c>
      <c r="E428">
        <v>21.7263679504394</v>
      </c>
    </row>
    <row r="429" spans="1:5" x14ac:dyDescent="0.25">
      <c r="A429">
        <v>5.9499993324279696</v>
      </c>
      <c r="B429">
        <v>3.3134415149688698</v>
      </c>
      <c r="C429">
        <f t="shared" si="6"/>
        <v>5.1482478090253754E-2</v>
      </c>
      <c r="D429">
        <v>17131.89453125</v>
      </c>
      <c r="E429">
        <v>21.725090026855401</v>
      </c>
    </row>
    <row r="430" spans="1:5" x14ac:dyDescent="0.25">
      <c r="A430">
        <v>5.9639992713928196</v>
      </c>
      <c r="B430">
        <v>3.3008568286895699</v>
      </c>
      <c r="C430">
        <f t="shared" si="6"/>
        <v>5.3003129450439647E-2</v>
      </c>
      <c r="D430">
        <v>17170.19921875</v>
      </c>
      <c r="E430">
        <v>21.724132537841701</v>
      </c>
    </row>
    <row r="431" spans="1:5" x14ac:dyDescent="0.25">
      <c r="A431">
        <v>5.9779992103576598</v>
      </c>
      <c r="B431">
        <v>3.2893655300140301</v>
      </c>
      <c r="C431">
        <f t="shared" si="6"/>
        <v>5.4431485396876617E-2</v>
      </c>
      <c r="D431">
        <v>17205.697265625</v>
      </c>
      <c r="E431">
        <v>21.724132537841701</v>
      </c>
    </row>
    <row r="432" spans="1:5" x14ac:dyDescent="0.25">
      <c r="A432">
        <v>5.99199962615966</v>
      </c>
      <c r="B432">
        <v>3.2776784896850502</v>
      </c>
      <c r="C432">
        <f t="shared" si="6"/>
        <v>5.5923532416876767E-2</v>
      </c>
      <c r="D432">
        <v>17241.09765625</v>
      </c>
      <c r="E432">
        <v>21.724132537841701</v>
      </c>
    </row>
    <row r="433" spans="1:5" x14ac:dyDescent="0.25">
      <c r="A433">
        <v>6.0059995651245099</v>
      </c>
      <c r="B433">
        <v>3.2669923305511399</v>
      </c>
      <c r="C433">
        <f t="shared" si="6"/>
        <v>5.7324214834401907E-2</v>
      </c>
      <c r="D433">
        <v>17272.59765625</v>
      </c>
      <c r="E433">
        <v>21.725090026855401</v>
      </c>
    </row>
    <row r="434" spans="1:5" x14ac:dyDescent="0.25">
      <c r="A434">
        <v>6.0199995040893501</v>
      </c>
      <c r="B434">
        <v>3.2560470104217498</v>
      </c>
      <c r="C434">
        <f t="shared" si="6"/>
        <v>5.8795053168574696E-2</v>
      </c>
      <c r="D434">
        <v>17304.1953125</v>
      </c>
      <c r="E434">
        <v>21.722536087036101</v>
      </c>
    </row>
    <row r="435" spans="1:5" x14ac:dyDescent="0.25">
      <c r="A435">
        <v>6.0339994430541903</v>
      </c>
      <c r="B435">
        <v>3.2451801300048801</v>
      </c>
      <c r="C435">
        <f t="shared" si="6"/>
        <v>6.0292738867906322E-2</v>
      </c>
      <c r="D435">
        <v>17337.796875</v>
      </c>
      <c r="E435">
        <v>21.7263679504394</v>
      </c>
    </row>
    <row r="436" spans="1:5" x14ac:dyDescent="0.25">
      <c r="A436">
        <v>6.0479993820190403</v>
      </c>
      <c r="B436">
        <v>3.23507475852966</v>
      </c>
      <c r="C436">
        <f t="shared" si="6"/>
        <v>6.1720256370118055E-2</v>
      </c>
      <c r="D436">
        <v>17368.896484375</v>
      </c>
      <c r="E436">
        <v>21.725090026855401</v>
      </c>
    </row>
    <row r="437" spans="1:5" x14ac:dyDescent="0.25">
      <c r="A437">
        <v>6.0619993209838796</v>
      </c>
      <c r="B437">
        <v>3.2246530055999698</v>
      </c>
      <c r="C437">
        <f t="shared" si="6"/>
        <v>6.3227615547980079E-2</v>
      </c>
      <c r="D437">
        <v>17402.59375</v>
      </c>
      <c r="E437">
        <v>21.721578598022401</v>
      </c>
    </row>
    <row r="438" spans="1:5" x14ac:dyDescent="0.25">
      <c r="A438">
        <v>6.0759992599487296</v>
      </c>
      <c r="B438">
        <v>3.2145752906799299</v>
      </c>
      <c r="C438">
        <f t="shared" si="6"/>
        <v>6.4720496596176763E-2</v>
      </c>
      <c r="D438">
        <v>17437.89453125</v>
      </c>
      <c r="E438">
        <v>21.722536087036101</v>
      </c>
    </row>
    <row r="439" spans="1:5" x14ac:dyDescent="0.25">
      <c r="A439">
        <v>6.0899991989135698</v>
      </c>
      <c r="B439">
        <v>3.2049286365509002</v>
      </c>
      <c r="C439">
        <f t="shared" si="6"/>
        <v>6.6182902505149188E-2</v>
      </c>
      <c r="D439">
        <v>17472.30078125</v>
      </c>
      <c r="E439">
        <v>21.722536087036101</v>
      </c>
    </row>
    <row r="440" spans="1:5" x14ac:dyDescent="0.25">
      <c r="A440">
        <v>6.10399913787841</v>
      </c>
      <c r="B440">
        <v>3.1953861713409402</v>
      </c>
      <c r="C440">
        <f t="shared" si="6"/>
        <v>6.7662116993231575E-2</v>
      </c>
      <c r="D440">
        <v>17507.69921875</v>
      </c>
      <c r="E440">
        <v>21.725090026855401</v>
      </c>
    </row>
    <row r="441" spans="1:5" x14ac:dyDescent="0.25">
      <c r="A441">
        <v>6.1179995536804199</v>
      </c>
      <c r="B441">
        <v>3.1866674423217698</v>
      </c>
      <c r="C441">
        <f t="shared" si="6"/>
        <v>6.9043311340310456E-2</v>
      </c>
      <c r="D441">
        <v>17538.998046875</v>
      </c>
      <c r="E441">
        <v>21.725090026855401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O428"/>
  <sheetViews>
    <sheetView workbookViewId="0">
      <selection activeCell="B4" sqref="B4"/>
    </sheetView>
  </sheetViews>
  <sheetFormatPr defaultRowHeight="15" x14ac:dyDescent="0.25"/>
  <sheetData>
    <row r="1" spans="1:15" x14ac:dyDescent="0.25">
      <c r="A1" t="str">
        <f ca="1">MID(CELL("filename",A1),FIND("]",CELL("filename",A1))+1,3)</f>
        <v>MWR</v>
      </c>
      <c r="C1" t="str">
        <f ca="1">A1</f>
        <v>MWR</v>
      </c>
    </row>
    <row r="2" spans="1:15" x14ac:dyDescent="0.25">
      <c r="A2">
        <v>100</v>
      </c>
    </row>
    <row r="3" spans="1:15" x14ac:dyDescent="0.25">
      <c r="A3" t="s">
        <v>0</v>
      </c>
    </row>
    <row r="4" spans="1:15" x14ac:dyDescent="0.25">
      <c r="A4">
        <v>0</v>
      </c>
      <c r="B4">
        <v>7.6425304412841797</v>
      </c>
      <c r="C4">
        <f>(10^-B4)*(100+A4)</f>
        <v>2.2775585938737552E-6</v>
      </c>
      <c r="E4" t="s">
        <v>4</v>
      </c>
    </row>
    <row r="5" spans="1:15" ht="15.75" thickBot="1" x14ac:dyDescent="0.3">
      <c r="A5">
        <v>1.3999998569488499E-2</v>
      </c>
      <c r="B5">
        <v>7.64933013916015</v>
      </c>
      <c r="C5">
        <f t="shared" ref="C5:C68" si="0">(10^-B5)*(100+A5)</f>
        <v>2.2424907370767131E-6</v>
      </c>
    </row>
    <row r="6" spans="1:15" x14ac:dyDescent="0.25">
      <c r="A6">
        <v>2.7999997138976999E-2</v>
      </c>
      <c r="B6">
        <v>7.6643724441528303</v>
      </c>
      <c r="C6">
        <f t="shared" si="0"/>
        <v>2.1664523493804226E-6</v>
      </c>
      <c r="E6" s="3" t="s">
        <v>5</v>
      </c>
      <c r="F6" s="3"/>
    </row>
    <row r="7" spans="1:15" x14ac:dyDescent="0.25">
      <c r="A7">
        <v>4.19999957084655E-2</v>
      </c>
      <c r="B7">
        <v>7.6787953376770002</v>
      </c>
      <c r="C7">
        <f t="shared" si="0"/>
        <v>2.095979485685092E-6</v>
      </c>
      <c r="E7" t="s">
        <v>6</v>
      </c>
      <c r="F7">
        <v>0.99860682446623639</v>
      </c>
    </row>
    <row r="8" spans="1:15" x14ac:dyDescent="0.25">
      <c r="A8">
        <v>5.5999994277954102E-2</v>
      </c>
      <c r="B8">
        <v>7.6198983192443803</v>
      </c>
      <c r="C8">
        <f t="shared" si="0"/>
        <v>2.4007382809961473E-6</v>
      </c>
      <c r="E8" t="s">
        <v>7</v>
      </c>
      <c r="F8">
        <v>0.9972155898705406</v>
      </c>
    </row>
    <row r="9" spans="1:15" x14ac:dyDescent="0.25">
      <c r="A9">
        <v>6.9999992847442599E-2</v>
      </c>
      <c r="B9">
        <v>7.60377740859985</v>
      </c>
      <c r="C9">
        <f t="shared" si="0"/>
        <v>2.4918763664319176E-6</v>
      </c>
      <c r="E9" t="s">
        <v>8</v>
      </c>
      <c r="F9">
        <v>0.99715371408988585</v>
      </c>
      <c r="N9" t="s">
        <v>1</v>
      </c>
      <c r="O9">
        <v>3.9994125366210902</v>
      </c>
    </row>
    <row r="10" spans="1:15" x14ac:dyDescent="0.25">
      <c r="A10">
        <v>8.3999991416931097E-2</v>
      </c>
      <c r="B10">
        <v>7.5886363983154297</v>
      </c>
      <c r="C10">
        <f t="shared" si="0"/>
        <v>2.5806449397733745E-6</v>
      </c>
      <c r="E10" t="s">
        <v>9</v>
      </c>
      <c r="F10">
        <v>9.7565999330667251E-4</v>
      </c>
    </row>
    <row r="11" spans="1:15" ht="15.75" thickBot="1" x14ac:dyDescent="0.3">
      <c r="A11">
        <v>9.7999989986419594E-2</v>
      </c>
      <c r="B11">
        <v>7.5746183395385698</v>
      </c>
      <c r="C11">
        <f t="shared" si="0"/>
        <v>2.6656741506519301E-6</v>
      </c>
      <c r="E11" s="1" t="s">
        <v>10</v>
      </c>
      <c r="F11" s="1">
        <v>47</v>
      </c>
      <c r="N11" t="s">
        <v>2</v>
      </c>
      <c r="O11">
        <v>382</v>
      </c>
    </row>
    <row r="12" spans="1:15" x14ac:dyDescent="0.25">
      <c r="A12">
        <v>0.11199998855590799</v>
      </c>
      <c r="B12">
        <v>7.5717539787292401</v>
      </c>
      <c r="C12">
        <f t="shared" si="0"/>
        <v>2.6836888317406872E-6</v>
      </c>
      <c r="N12" t="s">
        <v>3</v>
      </c>
      <c r="O12">
        <v>428</v>
      </c>
    </row>
    <row r="13" spans="1:15" ht="15.75" thickBot="1" x14ac:dyDescent="0.3">
      <c r="A13">
        <v>0.12599998712539601</v>
      </c>
      <c r="B13">
        <v>7.5871062278747496</v>
      </c>
      <c r="C13">
        <f t="shared" si="0"/>
        <v>2.5908402693677107E-6</v>
      </c>
      <c r="E13" t="s">
        <v>11</v>
      </c>
    </row>
    <row r="14" spans="1:15" x14ac:dyDescent="0.25">
      <c r="A14">
        <v>0.139999985694885</v>
      </c>
      <c r="B14">
        <v>7.6019597053527797</v>
      </c>
      <c r="C14">
        <f t="shared" si="0"/>
        <v>2.5040781670822587E-6</v>
      </c>
      <c r="E14" s="2"/>
      <c r="F14" s="2" t="s">
        <v>16</v>
      </c>
      <c r="G14" s="2" t="s">
        <v>17</v>
      </c>
      <c r="H14" s="2" t="s">
        <v>18</v>
      </c>
      <c r="I14" s="2" t="s">
        <v>19</v>
      </c>
      <c r="J14" s="2" t="s">
        <v>20</v>
      </c>
    </row>
    <row r="15" spans="1:15" x14ac:dyDescent="0.25">
      <c r="A15">
        <v>0.153999984264373</v>
      </c>
      <c r="B15">
        <v>7.5540499687194798</v>
      </c>
      <c r="C15">
        <f t="shared" si="0"/>
        <v>2.7965225796645817E-6</v>
      </c>
      <c r="E15" t="s">
        <v>12</v>
      </c>
      <c r="F15">
        <v>1</v>
      </c>
      <c r="G15">
        <v>1.5341413035992128E-2</v>
      </c>
      <c r="H15">
        <v>1.5341413035992128E-2</v>
      </c>
      <c r="I15">
        <v>16116.41225888167</v>
      </c>
      <c r="J15">
        <v>3.801876824215838E-59</v>
      </c>
    </row>
    <row r="16" spans="1:15" x14ac:dyDescent="0.25">
      <c r="A16">
        <v>0.167999982833862</v>
      </c>
      <c r="B16">
        <v>7.5438575744628897</v>
      </c>
      <c r="C16">
        <f t="shared" si="0"/>
        <v>2.8633301613430816E-6</v>
      </c>
      <c r="E16" t="s">
        <v>13</v>
      </c>
      <c r="F16">
        <v>45</v>
      </c>
      <c r="G16">
        <v>4.2836059014262926E-5</v>
      </c>
      <c r="H16">
        <v>9.5191242253917618E-7</v>
      </c>
    </row>
    <row r="17" spans="1:11" ht="15.75" thickBot="1" x14ac:dyDescent="0.3">
      <c r="A17">
        <v>0.18199998140335</v>
      </c>
      <c r="B17">
        <v>7.5330753326415998</v>
      </c>
      <c r="C17">
        <f t="shared" si="0"/>
        <v>2.9357181971007863E-6</v>
      </c>
      <c r="E17" s="1" t="s">
        <v>14</v>
      </c>
      <c r="F17" s="1">
        <v>46</v>
      </c>
      <c r="G17" s="1">
        <v>1.5384249095006391E-2</v>
      </c>
      <c r="H17" s="1"/>
      <c r="I17" s="1"/>
      <c r="J17" s="1"/>
    </row>
    <row r="18" spans="1:11" ht="15.75" thickBot="1" x14ac:dyDescent="0.3">
      <c r="A18">
        <v>0.19599997997283899</v>
      </c>
      <c r="B18">
        <v>7.5216045379638601</v>
      </c>
      <c r="C18">
        <f t="shared" si="0"/>
        <v>3.0147121137093909E-6</v>
      </c>
    </row>
    <row r="19" spans="1:11" x14ac:dyDescent="0.25">
      <c r="A19">
        <v>0.20999997854232699</v>
      </c>
      <c r="B19">
        <v>7.5086188316345197</v>
      </c>
      <c r="C19">
        <f t="shared" si="0"/>
        <v>3.1066493038502511E-6</v>
      </c>
      <c r="E19" s="2"/>
      <c r="F19" s="2" t="s">
        <v>21</v>
      </c>
      <c r="G19" s="2" t="s">
        <v>9</v>
      </c>
      <c r="H19" s="2" t="s">
        <v>22</v>
      </c>
      <c r="I19" s="2" t="s">
        <v>23</v>
      </c>
      <c r="J19" s="2" t="s">
        <v>24</v>
      </c>
      <c r="K19" s="2" t="s">
        <v>25</v>
      </c>
    </row>
    <row r="20" spans="1:11" x14ac:dyDescent="0.25">
      <c r="A20">
        <v>0.22399997711181599</v>
      </c>
      <c r="B20">
        <v>7.4967355728149396</v>
      </c>
      <c r="C20">
        <f t="shared" si="0"/>
        <v>3.1932738078162229E-6</v>
      </c>
      <c r="E20" t="s">
        <v>15</v>
      </c>
      <c r="F20">
        <v>-0.49357555682901255</v>
      </c>
      <c r="G20">
        <v>4.2095276142239974E-3</v>
      </c>
      <c r="H20">
        <v>-117.25200594033885</v>
      </c>
      <c r="I20">
        <v>1.3444272598833406E-57</v>
      </c>
      <c r="J20">
        <v>-0.50205398066240858</v>
      </c>
      <c r="K20">
        <v>-0.48509713299561652</v>
      </c>
    </row>
    <row r="21" spans="1:11" ht="15.75" thickBot="1" x14ac:dyDescent="0.3">
      <c r="A21">
        <v>0.23799997568130399</v>
      </c>
      <c r="B21">
        <v>7.4881000518798801</v>
      </c>
      <c r="C21">
        <f t="shared" si="0"/>
        <v>3.2578594252494616E-6</v>
      </c>
      <c r="E21" s="1" t="s">
        <v>26</v>
      </c>
      <c r="F21" s="1">
        <v>9.5136429791740751E-2</v>
      </c>
      <c r="G21" s="1">
        <v>7.4939823421504132E-4</v>
      </c>
      <c r="H21" s="1">
        <v>126.95043229103895</v>
      </c>
      <c r="I21" s="1">
        <v>3.8018768242159459E-59</v>
      </c>
      <c r="J21" s="1">
        <v>9.3627064268586913E-2</v>
      </c>
      <c r="K21" s="1">
        <v>9.6645795314894589E-2</v>
      </c>
    </row>
    <row r="22" spans="1:11" x14ac:dyDescent="0.25">
      <c r="A22">
        <v>0.25199997425079301</v>
      </c>
      <c r="B22">
        <v>7.4794764518737704</v>
      </c>
      <c r="C22">
        <f t="shared" si="0"/>
        <v>3.3236600231844761E-6</v>
      </c>
    </row>
    <row r="23" spans="1:11" x14ac:dyDescent="0.25">
      <c r="A23">
        <v>0.26599997282028198</v>
      </c>
      <c r="B23">
        <v>7.4737663269042898</v>
      </c>
      <c r="C23">
        <f t="shared" si="0"/>
        <v>3.3681184981312617E-6</v>
      </c>
      <c r="E23" s="4" t="s">
        <v>27</v>
      </c>
      <c r="F23">
        <f>+(-F20/F21)</f>
        <v>5.1880815572907091</v>
      </c>
    </row>
    <row r="24" spans="1:11" x14ac:dyDescent="0.25">
      <c r="A24">
        <v>0.27999997138977001</v>
      </c>
      <c r="B24">
        <v>7.4710049629211399</v>
      </c>
      <c r="C24">
        <f t="shared" si="0"/>
        <v>3.3900754360344431E-6</v>
      </c>
      <c r="E24" s="4" t="s">
        <v>28</v>
      </c>
      <c r="F24" s="5">
        <f>+(F23*0.1*1000000)/100</f>
        <v>5188.0815572907086</v>
      </c>
    </row>
    <row r="25" spans="1:11" x14ac:dyDescent="0.25">
      <c r="A25">
        <v>0.29399996995925898</v>
      </c>
      <c r="B25">
        <v>7.4683527946472097</v>
      </c>
      <c r="C25">
        <f t="shared" si="0"/>
        <v>3.4113176221840666E-6</v>
      </c>
    </row>
    <row r="26" spans="1:11" x14ac:dyDescent="0.25">
      <c r="A26">
        <v>0.307999968528747</v>
      </c>
      <c r="B26">
        <v>7.4652972221374503</v>
      </c>
      <c r="C26">
        <f t="shared" si="0"/>
        <v>3.4358828604072654E-6</v>
      </c>
    </row>
    <row r="27" spans="1:11" x14ac:dyDescent="0.25">
      <c r="A27">
        <v>0.32199996709823597</v>
      </c>
      <c r="B27">
        <v>7.4593629837036097</v>
      </c>
      <c r="C27">
        <f t="shared" si="0"/>
        <v>3.4836394317269033E-6</v>
      </c>
    </row>
    <row r="28" spans="1:11" x14ac:dyDescent="0.25">
      <c r="A28">
        <v>0.335999965667724</v>
      </c>
      <c r="B28">
        <v>7.4553489685058496</v>
      </c>
      <c r="C28">
        <f t="shared" si="0"/>
        <v>3.5164772719026495E-6</v>
      </c>
    </row>
    <row r="29" spans="1:11" x14ac:dyDescent="0.25">
      <c r="A29">
        <v>0.34999996423721302</v>
      </c>
      <c r="B29">
        <v>7.4502296447753897</v>
      </c>
      <c r="C29">
        <f t="shared" si="0"/>
        <v>3.5586701204751096E-6</v>
      </c>
    </row>
    <row r="30" spans="1:11" x14ac:dyDescent="0.25">
      <c r="A30">
        <v>0.36399996280670099</v>
      </c>
      <c r="B30">
        <v>7.4420690536498997</v>
      </c>
      <c r="C30">
        <f t="shared" si="0"/>
        <v>3.626677249614405E-6</v>
      </c>
    </row>
    <row r="31" spans="1:11" x14ac:dyDescent="0.25">
      <c r="A31">
        <v>0.37799996137619002</v>
      </c>
      <c r="B31">
        <v>7.4344844818115199</v>
      </c>
      <c r="C31">
        <f t="shared" si="0"/>
        <v>3.6910850835409821E-6</v>
      </c>
    </row>
    <row r="32" spans="1:11" x14ac:dyDescent="0.25">
      <c r="A32">
        <v>0.39199995994567799</v>
      </c>
      <c r="B32">
        <v>7.4266104698181099</v>
      </c>
      <c r="C32">
        <f t="shared" si="0"/>
        <v>3.7591411775893324E-6</v>
      </c>
    </row>
    <row r="33" spans="1:3" x14ac:dyDescent="0.25">
      <c r="A33">
        <v>0.40599995851516701</v>
      </c>
      <c r="B33">
        <v>7.41898393630981</v>
      </c>
      <c r="C33">
        <f t="shared" si="0"/>
        <v>3.8262710283340364E-6</v>
      </c>
    </row>
    <row r="34" spans="1:3" x14ac:dyDescent="0.25">
      <c r="A34">
        <v>0.41999995708465498</v>
      </c>
      <c r="B34">
        <v>7.40944099426269</v>
      </c>
      <c r="C34">
        <f t="shared" si="0"/>
        <v>3.9118232409097413E-6</v>
      </c>
    </row>
    <row r="35" spans="1:3" x14ac:dyDescent="0.25">
      <c r="A35">
        <v>0.43399995565414401</v>
      </c>
      <c r="B35">
        <v>7.4016523361206001</v>
      </c>
      <c r="C35">
        <f t="shared" si="0"/>
        <v>3.9831661582774309E-6</v>
      </c>
    </row>
    <row r="36" spans="1:3" x14ac:dyDescent="0.25">
      <c r="A36">
        <v>0.44799995422363198</v>
      </c>
      <c r="B36">
        <v>7.3954086303710902</v>
      </c>
      <c r="C36">
        <f t="shared" si="0"/>
        <v>4.0414076894936265E-6</v>
      </c>
    </row>
    <row r="37" spans="1:3" x14ac:dyDescent="0.25">
      <c r="A37">
        <v>0.461999952793121</v>
      </c>
      <c r="B37">
        <v>7.3890347480773899</v>
      </c>
      <c r="C37">
        <f t="shared" si="0"/>
        <v>4.1017300228382711E-6</v>
      </c>
    </row>
    <row r="38" spans="1:3" x14ac:dyDescent="0.25">
      <c r="A38">
        <v>0.47599995136260898</v>
      </c>
      <c r="B38">
        <v>7.3830676078796298</v>
      </c>
      <c r="C38">
        <f t="shared" si="0"/>
        <v>4.1590556280736954E-6</v>
      </c>
    </row>
    <row r="39" spans="1:3" x14ac:dyDescent="0.25">
      <c r="A39">
        <v>0.489999949932098</v>
      </c>
      <c r="B39">
        <v>7.3793644905090297</v>
      </c>
      <c r="C39">
        <f t="shared" si="0"/>
        <v>4.1952549210818002E-6</v>
      </c>
    </row>
    <row r="40" spans="1:3" x14ac:dyDescent="0.25">
      <c r="A40">
        <v>0.50399994850158603</v>
      </c>
      <c r="B40">
        <v>7.3779420852661097</v>
      </c>
      <c r="C40">
        <f t="shared" si="0"/>
        <v>4.2096041731593465E-6</v>
      </c>
    </row>
    <row r="41" spans="1:3" x14ac:dyDescent="0.25">
      <c r="A41">
        <v>0.517999947071075</v>
      </c>
      <c r="B41">
        <v>7.3753376007079998</v>
      </c>
      <c r="C41">
        <f t="shared" si="0"/>
        <v>4.2355151347348693E-6</v>
      </c>
    </row>
    <row r="42" spans="1:3" x14ac:dyDescent="0.25">
      <c r="A42">
        <v>0.53199994564056396</v>
      </c>
      <c r="B42">
        <v>7.37420606613159</v>
      </c>
      <c r="C42">
        <f t="shared" si="0"/>
        <v>4.2471564212912921E-6</v>
      </c>
    </row>
    <row r="43" spans="1:3" x14ac:dyDescent="0.25">
      <c r="A43">
        <v>0.54599994421005205</v>
      </c>
      <c r="B43">
        <v>7.3698658943176198</v>
      </c>
      <c r="C43">
        <f t="shared" si="0"/>
        <v>4.2904110577729856E-6</v>
      </c>
    </row>
    <row r="44" spans="1:3" x14ac:dyDescent="0.25">
      <c r="A44">
        <v>0.55999994277954102</v>
      </c>
      <c r="B44">
        <v>7.3634614944457999</v>
      </c>
      <c r="C44">
        <f t="shared" si="0"/>
        <v>4.3547554362784349E-6</v>
      </c>
    </row>
    <row r="45" spans="1:3" x14ac:dyDescent="0.25">
      <c r="A45">
        <v>0.57399994134902899</v>
      </c>
      <c r="B45">
        <v>7.3548331260681099</v>
      </c>
      <c r="C45">
        <f t="shared" si="0"/>
        <v>4.4427573781348691E-6</v>
      </c>
    </row>
    <row r="46" spans="1:3" x14ac:dyDescent="0.25">
      <c r="A46">
        <v>0.58799993991851796</v>
      </c>
      <c r="B46">
        <v>7.3482060432434002</v>
      </c>
      <c r="C46">
        <f t="shared" si="0"/>
        <v>4.5116991228303408E-6</v>
      </c>
    </row>
    <row r="47" spans="1:3" x14ac:dyDescent="0.25">
      <c r="A47">
        <v>0.60199993848800604</v>
      </c>
      <c r="B47">
        <v>7.3433046340942303</v>
      </c>
      <c r="C47">
        <f t="shared" si="0"/>
        <v>4.5635412486694264E-6</v>
      </c>
    </row>
    <row r="48" spans="1:3" x14ac:dyDescent="0.25">
      <c r="A48">
        <v>0.61599993705749501</v>
      </c>
      <c r="B48">
        <v>7.3477401733398402</v>
      </c>
      <c r="C48">
        <f t="shared" si="0"/>
        <v>4.5177986811040071E-6</v>
      </c>
    </row>
    <row r="49" spans="1:3" x14ac:dyDescent="0.25">
      <c r="A49">
        <v>0.62999993562698298</v>
      </c>
      <c r="B49">
        <v>7.3625922203063903</v>
      </c>
      <c r="C49">
        <f t="shared" si="0"/>
        <v>4.3665179731043827E-6</v>
      </c>
    </row>
    <row r="50" spans="1:3" x14ac:dyDescent="0.25">
      <c r="A50">
        <v>0.64399993419647195</v>
      </c>
      <c r="B50">
        <v>7.3773536682128897</v>
      </c>
      <c r="C50">
        <f t="shared" si="0"/>
        <v>4.2211833900918273E-6</v>
      </c>
    </row>
    <row r="51" spans="1:3" x14ac:dyDescent="0.25">
      <c r="A51">
        <v>0.65799993276596003</v>
      </c>
      <c r="B51">
        <v>7.3574123382568297</v>
      </c>
      <c r="C51">
        <f t="shared" si="0"/>
        <v>4.4201393224142037E-6</v>
      </c>
    </row>
    <row r="52" spans="1:3" x14ac:dyDescent="0.25">
      <c r="A52">
        <v>0.671999931335449</v>
      </c>
      <c r="B52">
        <v>7.3444800376892001</v>
      </c>
      <c r="C52">
        <f t="shared" si="0"/>
        <v>4.5543736550937807E-6</v>
      </c>
    </row>
    <row r="53" spans="1:3" x14ac:dyDescent="0.25">
      <c r="A53">
        <v>0.68599992990493697</v>
      </c>
      <c r="B53">
        <v>7.3379235267639098</v>
      </c>
      <c r="C53">
        <f t="shared" si="0"/>
        <v>4.6242953114247874E-6</v>
      </c>
    </row>
    <row r="54" spans="1:3" x14ac:dyDescent="0.25">
      <c r="A54">
        <v>0.69999992847442605</v>
      </c>
      <c r="B54">
        <v>7.3312048912048304</v>
      </c>
      <c r="C54">
        <f t="shared" si="0"/>
        <v>4.6970434651135749E-6</v>
      </c>
    </row>
    <row r="55" spans="1:3" x14ac:dyDescent="0.25">
      <c r="A55">
        <v>0.71399992704391402</v>
      </c>
      <c r="B55">
        <v>7.3224616050720197</v>
      </c>
      <c r="C55">
        <f t="shared" si="0"/>
        <v>4.7932296768401099E-6</v>
      </c>
    </row>
    <row r="56" spans="1:3" x14ac:dyDescent="0.25">
      <c r="A56">
        <v>0.72799992561340299</v>
      </c>
      <c r="B56">
        <v>7.316650390625</v>
      </c>
      <c r="C56">
        <f t="shared" si="0"/>
        <v>4.8584732954527158E-6</v>
      </c>
    </row>
    <row r="57" spans="1:3" x14ac:dyDescent="0.25">
      <c r="A57">
        <v>0.74199992418289096</v>
      </c>
      <c r="B57">
        <v>7.3100419044494602</v>
      </c>
      <c r="C57">
        <f t="shared" si="0"/>
        <v>4.9336537142555595E-6</v>
      </c>
    </row>
    <row r="58" spans="1:3" x14ac:dyDescent="0.25">
      <c r="A58">
        <v>0.75599992275238004</v>
      </c>
      <c r="B58">
        <v>7.3024396896362296</v>
      </c>
      <c r="C58">
        <f t="shared" si="0"/>
        <v>5.0214741087373462E-6</v>
      </c>
    </row>
    <row r="59" spans="1:3" x14ac:dyDescent="0.25">
      <c r="A59">
        <v>0.76999992132186801</v>
      </c>
      <c r="B59">
        <v>7.2937169075012198</v>
      </c>
      <c r="C59">
        <f t="shared" si="0"/>
        <v>5.1240617020955165E-6</v>
      </c>
    </row>
    <row r="60" spans="1:3" x14ac:dyDescent="0.25">
      <c r="A60">
        <v>0.78399991989135698</v>
      </c>
      <c r="B60">
        <v>7.2872633934020996</v>
      </c>
      <c r="C60">
        <f t="shared" si="0"/>
        <v>5.2014951425882496E-6</v>
      </c>
    </row>
    <row r="61" spans="1:3" x14ac:dyDescent="0.25">
      <c r="A61">
        <v>0.79799991846084595</v>
      </c>
      <c r="B61">
        <v>7.28151082992553</v>
      </c>
      <c r="C61">
        <f t="shared" si="0"/>
        <v>5.2715834370652491E-6</v>
      </c>
    </row>
    <row r="62" spans="1:3" x14ac:dyDescent="0.25">
      <c r="A62">
        <v>0.81199991703033403</v>
      </c>
      <c r="B62">
        <v>7.2740516662597603</v>
      </c>
      <c r="C62">
        <f t="shared" si="0"/>
        <v>5.3636516489833569E-6</v>
      </c>
    </row>
    <row r="63" spans="1:3" x14ac:dyDescent="0.25">
      <c r="A63">
        <v>0.825999915599823</v>
      </c>
      <c r="B63">
        <v>7.2664599418640101</v>
      </c>
      <c r="C63">
        <f t="shared" si="0"/>
        <v>5.4589937343731283E-6</v>
      </c>
    </row>
    <row r="64" spans="1:3" x14ac:dyDescent="0.25">
      <c r="A64">
        <v>0.83999991416931097</v>
      </c>
      <c r="B64">
        <v>7.2590188980102504</v>
      </c>
      <c r="C64">
        <f t="shared" si="0"/>
        <v>5.5541031177862254E-6</v>
      </c>
    </row>
    <row r="65" spans="1:3" x14ac:dyDescent="0.25">
      <c r="A65">
        <v>0.85399991273880005</v>
      </c>
      <c r="B65">
        <v>7.2542805671691797</v>
      </c>
      <c r="C65">
        <f t="shared" si="0"/>
        <v>5.6158119934772966E-6</v>
      </c>
    </row>
    <row r="66" spans="1:3" x14ac:dyDescent="0.25">
      <c r="A66">
        <v>0.86799991130828802</v>
      </c>
      <c r="B66">
        <v>7.2481398582458496</v>
      </c>
      <c r="C66">
        <f t="shared" si="0"/>
        <v>5.6965714787947201E-6</v>
      </c>
    </row>
    <row r="67" spans="1:3" x14ac:dyDescent="0.25">
      <c r="A67">
        <v>0.88199990987777699</v>
      </c>
      <c r="B67">
        <v>7.24283647537231</v>
      </c>
      <c r="C67">
        <f t="shared" si="0"/>
        <v>5.7673619497038979E-6</v>
      </c>
    </row>
    <row r="68" spans="1:3" x14ac:dyDescent="0.25">
      <c r="A68">
        <v>0.89599990844726496</v>
      </c>
      <c r="B68">
        <v>7.23593997955322</v>
      </c>
      <c r="C68">
        <f t="shared" si="0"/>
        <v>5.8604905383449324E-6</v>
      </c>
    </row>
    <row r="69" spans="1:3" x14ac:dyDescent="0.25">
      <c r="A69">
        <v>0.90999990701675404</v>
      </c>
      <c r="B69">
        <v>7.2296552658081001</v>
      </c>
      <c r="C69">
        <f t="shared" ref="C69:C132" si="1">(10^-B69)*(100+A69)</f>
        <v>5.9467398497695533E-6</v>
      </c>
    </row>
    <row r="70" spans="1:3" x14ac:dyDescent="0.25">
      <c r="A70">
        <v>0.92399990558624201</v>
      </c>
      <c r="B70">
        <v>7.2244362831115696</v>
      </c>
      <c r="C70">
        <f t="shared" si="1"/>
        <v>6.0194688503717374E-6</v>
      </c>
    </row>
    <row r="71" spans="1:3" x14ac:dyDescent="0.25">
      <c r="A71">
        <v>0.93799990415573098</v>
      </c>
      <c r="B71">
        <v>7.2175402641296298</v>
      </c>
      <c r="C71">
        <f t="shared" si="1"/>
        <v>6.1166612710237483E-6</v>
      </c>
    </row>
    <row r="72" spans="1:3" x14ac:dyDescent="0.25">
      <c r="A72">
        <v>0.95199990272521895</v>
      </c>
      <c r="B72">
        <v>7.2099957466125399</v>
      </c>
      <c r="C72">
        <f t="shared" si="1"/>
        <v>6.2247108199847464E-6</v>
      </c>
    </row>
    <row r="73" spans="1:3" x14ac:dyDescent="0.25">
      <c r="A73">
        <v>0.96599990129470803</v>
      </c>
      <c r="B73">
        <v>7.20509529113769</v>
      </c>
      <c r="C73">
        <f t="shared" si="1"/>
        <v>6.2962194912026794E-6</v>
      </c>
    </row>
    <row r="74" spans="1:3" x14ac:dyDescent="0.25">
      <c r="A74">
        <v>0.979999899864196</v>
      </c>
      <c r="B74">
        <v>7.2049365043640101</v>
      </c>
      <c r="C74">
        <f t="shared" si="1"/>
        <v>6.2993952925822831E-6</v>
      </c>
    </row>
    <row r="75" spans="1:3" x14ac:dyDescent="0.25">
      <c r="A75">
        <v>0.99399989843368497</v>
      </c>
      <c r="B75">
        <v>7.2023410797119096</v>
      </c>
      <c r="C75">
        <f t="shared" si="1"/>
        <v>6.3380329578292861E-6</v>
      </c>
    </row>
    <row r="76" spans="1:3" x14ac:dyDescent="0.25">
      <c r="A76">
        <v>1.0079998970031701</v>
      </c>
      <c r="B76">
        <v>7.2004504203796298</v>
      </c>
      <c r="C76">
        <f t="shared" si="1"/>
        <v>6.3665675472021608E-6</v>
      </c>
    </row>
    <row r="77" spans="1:3" x14ac:dyDescent="0.25">
      <c r="A77">
        <v>1.02199983596801</v>
      </c>
      <c r="B77">
        <v>7.1979637145995996</v>
      </c>
      <c r="C77">
        <f t="shared" si="1"/>
        <v>6.4040136210708791E-6</v>
      </c>
    </row>
    <row r="78" spans="1:3" x14ac:dyDescent="0.25">
      <c r="A78">
        <v>1.03599989414215</v>
      </c>
      <c r="B78">
        <v>7.1928029060363698</v>
      </c>
      <c r="C78">
        <f t="shared" si="1"/>
        <v>6.4814658591239129E-6</v>
      </c>
    </row>
    <row r="79" spans="1:3" x14ac:dyDescent="0.25">
      <c r="A79">
        <v>1.04999995231628</v>
      </c>
      <c r="B79">
        <v>7.18593406677246</v>
      </c>
      <c r="C79">
        <f t="shared" si="1"/>
        <v>6.5857046640347913E-6</v>
      </c>
    </row>
    <row r="80" spans="1:3" x14ac:dyDescent="0.25">
      <c r="A80">
        <v>1.0639998912811199</v>
      </c>
      <c r="B80">
        <v>7.1834411621093697</v>
      </c>
      <c r="C80">
        <f t="shared" si="1"/>
        <v>6.6245338036998921E-6</v>
      </c>
    </row>
    <row r="81" spans="1:3" x14ac:dyDescent="0.25">
      <c r="A81">
        <v>1.0779998302459699</v>
      </c>
      <c r="B81">
        <v>7.1859450340270996</v>
      </c>
      <c r="C81">
        <f t="shared" si="1"/>
        <v>6.5873631395766008E-6</v>
      </c>
    </row>
    <row r="82" spans="1:3" x14ac:dyDescent="0.25">
      <c r="A82">
        <v>1.0919998884201001</v>
      </c>
      <c r="B82">
        <v>7.1878933906555096</v>
      </c>
      <c r="C82">
        <f t="shared" si="1"/>
        <v>6.5587850422406738E-6</v>
      </c>
    </row>
    <row r="83" spans="1:3" x14ac:dyDescent="0.25">
      <c r="A83">
        <v>1.1059999465942301</v>
      </c>
      <c r="B83">
        <v>7.1895003318786603</v>
      </c>
      <c r="C83">
        <f t="shared" si="1"/>
        <v>6.535466560412274E-6</v>
      </c>
    </row>
    <row r="84" spans="1:3" x14ac:dyDescent="0.25">
      <c r="A84">
        <v>1.11999988555908</v>
      </c>
      <c r="B84">
        <v>7.1873078346252397</v>
      </c>
      <c r="C84">
        <f t="shared" si="1"/>
        <v>6.5694532408564233E-6</v>
      </c>
    </row>
    <row r="85" spans="1:3" x14ac:dyDescent="0.25">
      <c r="A85">
        <v>1.13399982452392</v>
      </c>
      <c r="B85">
        <v>7.1843366622924796</v>
      </c>
      <c r="C85">
        <f t="shared" si="1"/>
        <v>6.6154672154229953E-6</v>
      </c>
    </row>
    <row r="86" spans="1:3" x14ac:dyDescent="0.25">
      <c r="A86">
        <v>1.14799988269805</v>
      </c>
      <c r="B86">
        <v>7.1801977157592702</v>
      </c>
      <c r="C86">
        <f t="shared" si="1"/>
        <v>6.6797403868594144E-6</v>
      </c>
    </row>
    <row r="87" spans="1:3" x14ac:dyDescent="0.25">
      <c r="A87">
        <v>1.1619999408721899</v>
      </c>
      <c r="B87">
        <v>7.1742863655090297</v>
      </c>
      <c r="C87">
        <f t="shared" si="1"/>
        <v>6.7722197365724373E-6</v>
      </c>
    </row>
    <row r="88" spans="1:3" x14ac:dyDescent="0.25">
      <c r="A88">
        <v>1.1759998798370299</v>
      </c>
      <c r="B88">
        <v>7.1680016517639098</v>
      </c>
      <c r="C88">
        <f t="shared" si="1"/>
        <v>6.8718845291327448E-6</v>
      </c>
    </row>
    <row r="89" spans="1:3" x14ac:dyDescent="0.25">
      <c r="A89">
        <v>1.1899998188018699</v>
      </c>
      <c r="B89">
        <v>7.16084384918212</v>
      </c>
      <c r="C89">
        <f t="shared" si="1"/>
        <v>6.9870483080062415E-6</v>
      </c>
    </row>
    <row r="90" spans="1:3" x14ac:dyDescent="0.25">
      <c r="A90">
        <v>1.2039998769760101</v>
      </c>
      <c r="B90">
        <v>7.1551585197448704</v>
      </c>
      <c r="C90">
        <f t="shared" si="1"/>
        <v>7.0800961841037106E-6</v>
      </c>
    </row>
    <row r="91" spans="1:3" x14ac:dyDescent="0.25">
      <c r="A91">
        <v>1.21799993515014</v>
      </c>
      <c r="B91">
        <v>7.1498966217040998</v>
      </c>
      <c r="C91">
        <f t="shared" si="1"/>
        <v>7.1673915394414144E-6</v>
      </c>
    </row>
    <row r="92" spans="1:3" x14ac:dyDescent="0.25">
      <c r="A92">
        <v>1.23199987411499</v>
      </c>
      <c r="B92">
        <v>7.1431756019592196</v>
      </c>
      <c r="C92">
        <f t="shared" si="1"/>
        <v>7.2801816324899006E-6</v>
      </c>
    </row>
    <row r="93" spans="1:3" x14ac:dyDescent="0.25">
      <c r="A93">
        <v>1.24599981307983</v>
      </c>
      <c r="B93">
        <v>7.1389484405517498</v>
      </c>
      <c r="C93">
        <f t="shared" si="1"/>
        <v>7.3524051889322172E-6</v>
      </c>
    </row>
    <row r="94" spans="1:3" x14ac:dyDescent="0.25">
      <c r="A94">
        <v>1.25999987125396</v>
      </c>
      <c r="B94">
        <v>7.13795614242553</v>
      </c>
      <c r="C94">
        <f t="shared" si="1"/>
        <v>7.3702425436086533E-6</v>
      </c>
    </row>
    <row r="95" spans="1:3" x14ac:dyDescent="0.25">
      <c r="A95">
        <v>1.2739999294280999</v>
      </c>
      <c r="B95">
        <v>7.1367878913879297</v>
      </c>
      <c r="C95">
        <f t="shared" si="1"/>
        <v>7.3911169105007794E-6</v>
      </c>
    </row>
    <row r="96" spans="1:3" x14ac:dyDescent="0.25">
      <c r="A96">
        <v>1.2879998683929399</v>
      </c>
      <c r="B96">
        <v>7.1337966918945304</v>
      </c>
      <c r="C96">
        <f t="shared" si="1"/>
        <v>7.443227672188025E-6</v>
      </c>
    </row>
    <row r="97" spans="1:3" x14ac:dyDescent="0.25">
      <c r="A97">
        <v>1.3019998073577801</v>
      </c>
      <c r="B97">
        <v>7.1292338371276802</v>
      </c>
      <c r="C97">
        <f t="shared" si="1"/>
        <v>7.5228808218936335E-6</v>
      </c>
    </row>
    <row r="98" spans="1:3" x14ac:dyDescent="0.25">
      <c r="A98">
        <v>1.3159998655319201</v>
      </c>
      <c r="B98">
        <v>7.1256027221679599</v>
      </c>
      <c r="C98">
        <f t="shared" si="1"/>
        <v>7.5870913411616753E-6</v>
      </c>
    </row>
    <row r="99" spans="1:3" x14ac:dyDescent="0.25">
      <c r="A99">
        <v>1.32999992370605</v>
      </c>
      <c r="B99">
        <v>7.1223216056823704</v>
      </c>
      <c r="C99">
        <f t="shared" si="1"/>
        <v>7.6456856231570327E-6</v>
      </c>
    </row>
    <row r="100" spans="1:3" x14ac:dyDescent="0.25">
      <c r="A100">
        <v>1.34399986267089</v>
      </c>
      <c r="B100">
        <v>7.1184120178222603</v>
      </c>
      <c r="C100">
        <f t="shared" si="1"/>
        <v>7.7158899235169833E-6</v>
      </c>
    </row>
    <row r="101" spans="1:3" x14ac:dyDescent="0.25">
      <c r="A101">
        <v>1.35799980163574</v>
      </c>
      <c r="B101">
        <v>7.1137490272521902</v>
      </c>
      <c r="C101">
        <f t="shared" si="1"/>
        <v>7.8002586603111585E-6</v>
      </c>
    </row>
    <row r="102" spans="1:3" x14ac:dyDescent="0.25">
      <c r="A102">
        <v>1.3719998598098699</v>
      </c>
      <c r="B102">
        <v>7.1083726882934499</v>
      </c>
      <c r="C102">
        <f t="shared" si="1"/>
        <v>7.898512795158339E-6</v>
      </c>
    </row>
    <row r="103" spans="1:3" x14ac:dyDescent="0.25">
      <c r="A103">
        <v>1.3859999179839999</v>
      </c>
      <c r="B103">
        <v>7.1025528907775799</v>
      </c>
      <c r="C103">
        <f t="shared" si="1"/>
        <v>8.0061753544764101E-6</v>
      </c>
    </row>
    <row r="104" spans="1:3" x14ac:dyDescent="0.25">
      <c r="A104">
        <v>1.3999998569488501</v>
      </c>
      <c r="B104">
        <v>7.0967035293579102</v>
      </c>
      <c r="C104">
        <f t="shared" si="1"/>
        <v>8.1158577249205461E-6</v>
      </c>
    </row>
    <row r="105" spans="1:3" x14ac:dyDescent="0.25">
      <c r="A105">
        <v>1.4139997959136901</v>
      </c>
      <c r="B105">
        <v>7.0924510955810502</v>
      </c>
      <c r="C105">
        <f t="shared" si="1"/>
        <v>8.1968467625716346E-6</v>
      </c>
    </row>
    <row r="106" spans="1:3" x14ac:dyDescent="0.25">
      <c r="A106">
        <v>1.42799985408782</v>
      </c>
      <c r="B106">
        <v>7.09199714660644</v>
      </c>
      <c r="C106">
        <f t="shared" si="1"/>
        <v>8.2065517927382366E-6</v>
      </c>
    </row>
    <row r="107" spans="1:3" x14ac:dyDescent="0.25">
      <c r="A107">
        <v>1.44199991226196</v>
      </c>
      <c r="B107">
        <v>7.0946979522704998</v>
      </c>
      <c r="C107">
        <f t="shared" si="1"/>
        <v>8.1568006875298208E-6</v>
      </c>
    </row>
    <row r="108" spans="1:3" x14ac:dyDescent="0.25">
      <c r="A108">
        <v>1.4559998512268</v>
      </c>
      <c r="B108">
        <v>7.0932941436767498</v>
      </c>
      <c r="C108">
        <f t="shared" si="1"/>
        <v>8.1843386556413478E-6</v>
      </c>
    </row>
    <row r="109" spans="1:3" x14ac:dyDescent="0.25">
      <c r="A109">
        <v>1.4699997901916499</v>
      </c>
      <c r="B109">
        <v>7.08998346328735</v>
      </c>
      <c r="C109">
        <f t="shared" si="1"/>
        <v>8.2481052891399975E-6</v>
      </c>
    </row>
    <row r="110" spans="1:3" x14ac:dyDescent="0.25">
      <c r="A110">
        <v>1.4839998483657799</v>
      </c>
      <c r="B110">
        <v>7.0862174034118599</v>
      </c>
      <c r="C110">
        <f t="shared" si="1"/>
        <v>8.3210891044807963E-6</v>
      </c>
    </row>
    <row r="111" spans="1:3" x14ac:dyDescent="0.25">
      <c r="A111">
        <v>1.4979999065399101</v>
      </c>
      <c r="B111">
        <v>7.0796666145324698</v>
      </c>
      <c r="C111">
        <f t="shared" si="1"/>
        <v>8.44871907319738E-6</v>
      </c>
    </row>
    <row r="112" spans="1:3" x14ac:dyDescent="0.25">
      <c r="A112">
        <v>1.5119998455047601</v>
      </c>
      <c r="B112">
        <v>7.07401371002197</v>
      </c>
      <c r="C112">
        <f t="shared" si="1"/>
        <v>8.5605895308179829E-6</v>
      </c>
    </row>
    <row r="113" spans="1:3" x14ac:dyDescent="0.25">
      <c r="A113">
        <v>1.5259997844696001</v>
      </c>
      <c r="B113">
        <v>7.07042980194091</v>
      </c>
      <c r="C113">
        <f t="shared" si="1"/>
        <v>8.6327163837821614E-6</v>
      </c>
    </row>
    <row r="114" spans="1:3" x14ac:dyDescent="0.25">
      <c r="A114">
        <v>1.53999984264373</v>
      </c>
      <c r="B114">
        <v>7.0658540725707999</v>
      </c>
      <c r="C114">
        <f t="shared" si="1"/>
        <v>8.7253546005635513E-6</v>
      </c>
    </row>
    <row r="115" spans="1:3" x14ac:dyDescent="0.25">
      <c r="A115">
        <v>1.55399990081787</v>
      </c>
      <c r="B115">
        <v>7.0618195533752397</v>
      </c>
      <c r="C115">
        <f t="shared" si="1"/>
        <v>8.8080035343474086E-6</v>
      </c>
    </row>
    <row r="116" spans="1:3" x14ac:dyDescent="0.25">
      <c r="A116">
        <v>1.56799983978271</v>
      </c>
      <c r="B116">
        <v>7.0604143142700098</v>
      </c>
      <c r="C116">
        <f t="shared" si="1"/>
        <v>8.8377677773743435E-6</v>
      </c>
    </row>
    <row r="117" spans="1:3" x14ac:dyDescent="0.25">
      <c r="A117">
        <v>1.5819997787475499</v>
      </c>
      <c r="B117">
        <v>7.0583519935607901</v>
      </c>
      <c r="C117">
        <f t="shared" si="1"/>
        <v>8.8810591931845948E-6</v>
      </c>
    </row>
    <row r="118" spans="1:3" x14ac:dyDescent="0.25">
      <c r="A118">
        <v>1.5959998369216899</v>
      </c>
      <c r="B118">
        <v>7.0551648139953604</v>
      </c>
      <c r="C118">
        <f t="shared" si="1"/>
        <v>8.9477078319897555E-6</v>
      </c>
    </row>
    <row r="119" spans="1:3" x14ac:dyDescent="0.25">
      <c r="A119">
        <v>1.6099998950958201</v>
      </c>
      <c r="B119">
        <v>7.0508937835693297</v>
      </c>
      <c r="C119">
        <f t="shared" si="1"/>
        <v>9.0373825730336131E-6</v>
      </c>
    </row>
    <row r="120" spans="1:3" x14ac:dyDescent="0.25">
      <c r="A120">
        <v>1.6239998340606601</v>
      </c>
      <c r="B120">
        <v>7.04469442367553</v>
      </c>
      <c r="C120">
        <f t="shared" si="1"/>
        <v>9.1685753964788217E-6</v>
      </c>
    </row>
    <row r="121" spans="1:3" x14ac:dyDescent="0.25">
      <c r="A121">
        <v>1.63799977302551</v>
      </c>
      <c r="B121">
        <v>7.0388669967651296</v>
      </c>
      <c r="C121">
        <f t="shared" si="1"/>
        <v>9.293709917551437E-6</v>
      </c>
    </row>
    <row r="122" spans="1:3" x14ac:dyDescent="0.25">
      <c r="A122">
        <v>1.65199983119964</v>
      </c>
      <c r="B122">
        <v>7.0343575477600098</v>
      </c>
      <c r="C122">
        <f t="shared" si="1"/>
        <v>9.3920063883750576E-6</v>
      </c>
    </row>
    <row r="123" spans="1:3" x14ac:dyDescent="0.25">
      <c r="A123">
        <v>1.66599988937377</v>
      </c>
      <c r="B123">
        <v>7.02998447418212</v>
      </c>
      <c r="C123">
        <f t="shared" si="1"/>
        <v>9.4883623624650458E-6</v>
      </c>
    </row>
    <row r="124" spans="1:3" x14ac:dyDescent="0.25">
      <c r="A124">
        <v>1.6799998283386199</v>
      </c>
      <c r="B124">
        <v>7.0249390602111799</v>
      </c>
      <c r="C124">
        <f t="shared" si="1"/>
        <v>9.6005580205332875E-6</v>
      </c>
    </row>
    <row r="125" spans="1:3" x14ac:dyDescent="0.25">
      <c r="A125">
        <v>1.6939997673034599</v>
      </c>
      <c r="B125">
        <v>7.0207948684692303</v>
      </c>
      <c r="C125">
        <f t="shared" si="1"/>
        <v>9.6939429743452844E-6</v>
      </c>
    </row>
    <row r="126" spans="1:3" x14ac:dyDescent="0.25">
      <c r="A126">
        <v>1.7079998254776001</v>
      </c>
      <c r="B126">
        <v>7.0162239074706996</v>
      </c>
      <c r="C126">
        <f t="shared" si="1"/>
        <v>9.7978594709960781E-6</v>
      </c>
    </row>
    <row r="127" spans="1:3" x14ac:dyDescent="0.25">
      <c r="A127">
        <v>1.7219998836517301</v>
      </c>
      <c r="B127">
        <v>7.01023244857788</v>
      </c>
      <c r="C127">
        <f t="shared" si="1"/>
        <v>9.9353333096951794E-6</v>
      </c>
    </row>
    <row r="128" spans="1:3" x14ac:dyDescent="0.25">
      <c r="A128">
        <v>1.73599982261657</v>
      </c>
      <c r="B128">
        <v>7.0069398880004803</v>
      </c>
      <c r="C128">
        <f t="shared" si="1"/>
        <v>1.0012321107553777E-5</v>
      </c>
    </row>
    <row r="129" spans="1:3" x14ac:dyDescent="0.25">
      <c r="A129">
        <v>1.74999976158142</v>
      </c>
      <c r="B129">
        <v>7.0094347000121999</v>
      </c>
      <c r="C129">
        <f t="shared" si="1"/>
        <v>9.9563399521809507E-6</v>
      </c>
    </row>
    <row r="130" spans="1:3" x14ac:dyDescent="0.25">
      <c r="A130">
        <v>1.76399981975555</v>
      </c>
      <c r="B130">
        <v>7.0100946426391602</v>
      </c>
      <c r="C130">
        <f t="shared" si="1"/>
        <v>9.9425898852830208E-6</v>
      </c>
    </row>
    <row r="131" spans="1:3" x14ac:dyDescent="0.25">
      <c r="A131">
        <v>1.77799987792968</v>
      </c>
      <c r="B131">
        <v>7.0094032287597603</v>
      </c>
      <c r="C131">
        <f t="shared" si="1"/>
        <v>9.9598015049893305E-6</v>
      </c>
    </row>
    <row r="132" spans="1:3" x14ac:dyDescent="0.25">
      <c r="A132">
        <v>1.7919998168945299</v>
      </c>
      <c r="B132">
        <v>7.0083708763122496</v>
      </c>
      <c r="C132">
        <f t="shared" si="1"/>
        <v>9.9848781727018506E-6</v>
      </c>
    </row>
    <row r="133" spans="1:3" x14ac:dyDescent="0.25">
      <c r="A133">
        <v>1.8059997558593699</v>
      </c>
      <c r="B133">
        <v>7.0107741355895996</v>
      </c>
      <c r="C133">
        <f t="shared" ref="C133:C196" si="2">(10^-B133)*(100+A133)</f>
        <v>9.9311430487826838E-6</v>
      </c>
    </row>
    <row r="134" spans="1:3" x14ac:dyDescent="0.25">
      <c r="A134">
        <v>1.8199998140335001</v>
      </c>
      <c r="B134">
        <v>7.0132884979248002</v>
      </c>
      <c r="C134">
        <f t="shared" si="2"/>
        <v>9.8751703021299636E-6</v>
      </c>
    </row>
    <row r="135" spans="1:3" x14ac:dyDescent="0.25">
      <c r="A135">
        <v>1.83399987220764</v>
      </c>
      <c r="B135">
        <v>7.01208066940307</v>
      </c>
      <c r="C135">
        <f t="shared" si="2"/>
        <v>9.9040342391266828E-6</v>
      </c>
    </row>
    <row r="136" spans="1:3" x14ac:dyDescent="0.25">
      <c r="A136">
        <v>1.84799981117248</v>
      </c>
      <c r="B136">
        <v>7.0095949172973597</v>
      </c>
      <c r="C136">
        <f t="shared" si="2"/>
        <v>9.9622534636287328E-6</v>
      </c>
    </row>
    <row r="137" spans="1:3" x14ac:dyDescent="0.25">
      <c r="A137">
        <v>1.86199975013732</v>
      </c>
      <c r="B137">
        <v>7.0056962966918901</v>
      </c>
      <c r="C137">
        <f t="shared" si="2"/>
        <v>1.0053468031710042E-5</v>
      </c>
    </row>
    <row r="138" spans="1:3" x14ac:dyDescent="0.25">
      <c r="A138">
        <v>1.87599980831146</v>
      </c>
      <c r="B138">
        <v>7.0007548332214302</v>
      </c>
      <c r="C138">
        <f t="shared" si="2"/>
        <v>1.0169908620970329E-5</v>
      </c>
    </row>
    <row r="139" spans="1:3" x14ac:dyDescent="0.25">
      <c r="A139">
        <v>1.8899998664855899</v>
      </c>
      <c r="B139">
        <v>6.9954023361206001</v>
      </c>
      <c r="C139">
        <f t="shared" si="2"/>
        <v>1.0297438942853581E-5</v>
      </c>
    </row>
    <row r="140" spans="1:3" x14ac:dyDescent="0.25">
      <c r="A140">
        <v>1.9039998054504299</v>
      </c>
      <c r="B140">
        <v>6.9909472465515101</v>
      </c>
      <c r="C140">
        <f t="shared" si="2"/>
        <v>1.0405045511790784E-5</v>
      </c>
    </row>
    <row r="141" spans="1:3" x14ac:dyDescent="0.25">
      <c r="A141">
        <v>1.9179997444152801</v>
      </c>
      <c r="B141">
        <v>6.98473691940307</v>
      </c>
      <c r="C141">
        <f t="shared" si="2"/>
        <v>1.055635464649652E-5</v>
      </c>
    </row>
    <row r="142" spans="1:3" x14ac:dyDescent="0.25">
      <c r="A142">
        <v>1.9319998025894101</v>
      </c>
      <c r="B142">
        <v>6.9826235771179199</v>
      </c>
      <c r="C142">
        <f t="shared" si="2"/>
        <v>1.060930580020215E-5</v>
      </c>
    </row>
    <row r="143" spans="1:3" x14ac:dyDescent="0.25">
      <c r="A143">
        <v>1.94599986076354</v>
      </c>
      <c r="B143">
        <v>6.97971439361572</v>
      </c>
      <c r="C143">
        <f t="shared" si="2"/>
        <v>1.0682079259847995E-5</v>
      </c>
    </row>
    <row r="144" spans="1:3" x14ac:dyDescent="0.25">
      <c r="A144">
        <v>1.95999979972839</v>
      </c>
      <c r="B144">
        <v>6.9764451980590803</v>
      </c>
      <c r="C144">
        <f t="shared" si="2"/>
        <v>1.0764271121692195E-5</v>
      </c>
    </row>
    <row r="145" spans="1:3" x14ac:dyDescent="0.25">
      <c r="A145">
        <v>1.97399973869323</v>
      </c>
      <c r="B145">
        <v>6.9725046157836896</v>
      </c>
      <c r="C145">
        <f t="shared" si="2"/>
        <v>1.086387695807697E-5</v>
      </c>
    </row>
    <row r="146" spans="1:3" x14ac:dyDescent="0.25">
      <c r="A146">
        <v>1.9879997968673699</v>
      </c>
      <c r="B146">
        <v>6.96998834609985</v>
      </c>
      <c r="C146">
        <f t="shared" si="2"/>
        <v>1.0928504321099046E-5</v>
      </c>
    </row>
    <row r="147" spans="1:3" x14ac:dyDescent="0.25">
      <c r="A147">
        <v>2.0019998550414999</v>
      </c>
      <c r="B147">
        <v>6.9680700302123997</v>
      </c>
      <c r="C147">
        <f t="shared" si="2"/>
        <v>1.0978390042589016E-5</v>
      </c>
    </row>
    <row r="148" spans="1:3" x14ac:dyDescent="0.25">
      <c r="A148">
        <v>2.0159997940063401</v>
      </c>
      <c r="B148">
        <v>6.9651298522949201</v>
      </c>
      <c r="C148">
        <f t="shared" si="2"/>
        <v>1.105448304381946E-5</v>
      </c>
    </row>
    <row r="149" spans="1:3" x14ac:dyDescent="0.25">
      <c r="A149">
        <v>2.0299997329711901</v>
      </c>
      <c r="B149">
        <v>6.96189212799072</v>
      </c>
      <c r="C149">
        <f t="shared" si="2"/>
        <v>1.1138732068247716E-5</v>
      </c>
    </row>
    <row r="150" spans="1:3" x14ac:dyDescent="0.25">
      <c r="A150">
        <v>2.0439996719360298</v>
      </c>
      <c r="B150">
        <v>6.9590559005737296</v>
      </c>
      <c r="C150">
        <f t="shared" si="2"/>
        <v>1.1213251735978474E-5</v>
      </c>
    </row>
    <row r="151" spans="1:3" x14ac:dyDescent="0.25">
      <c r="A151">
        <v>2.05799984931945</v>
      </c>
      <c r="B151">
        <v>6.9562406539916903</v>
      </c>
      <c r="C151">
        <f t="shared" si="2"/>
        <v>1.1287724439633397E-5</v>
      </c>
    </row>
    <row r="152" spans="1:3" x14ac:dyDescent="0.25">
      <c r="A152">
        <v>2.0719997882843</v>
      </c>
      <c r="B152">
        <v>6.9524970054626403</v>
      </c>
      <c r="C152">
        <f t="shared" si="2"/>
        <v>1.1387007798014397E-5</v>
      </c>
    </row>
    <row r="153" spans="1:3" x14ac:dyDescent="0.25">
      <c r="A153">
        <v>2.0859997272491402</v>
      </c>
      <c r="B153">
        <v>6.9483094215393004</v>
      </c>
      <c r="C153">
        <f t="shared" si="2"/>
        <v>1.1498912377702217E-5</v>
      </c>
    </row>
    <row r="154" spans="1:3" x14ac:dyDescent="0.25">
      <c r="A154">
        <v>2.0999999046325599</v>
      </c>
      <c r="B154">
        <v>6.9416790008544904</v>
      </c>
      <c r="C154">
        <f t="shared" si="2"/>
        <v>1.1677415701475238E-5</v>
      </c>
    </row>
    <row r="155" spans="1:3" x14ac:dyDescent="0.25">
      <c r="A155">
        <v>2.1139998435974099</v>
      </c>
      <c r="B155">
        <v>6.9371619224548304</v>
      </c>
      <c r="C155">
        <f t="shared" si="2"/>
        <v>1.1801123777788399E-5</v>
      </c>
    </row>
    <row r="156" spans="1:3" x14ac:dyDescent="0.25">
      <c r="A156">
        <v>2.1279997825622501</v>
      </c>
      <c r="B156">
        <v>6.9353361129760698</v>
      </c>
      <c r="C156">
        <f t="shared" si="2"/>
        <v>1.1852465863815612E-5</v>
      </c>
    </row>
    <row r="157" spans="1:3" x14ac:dyDescent="0.25">
      <c r="A157">
        <v>2.1419997215270898</v>
      </c>
      <c r="B157">
        <v>6.9377179145812899</v>
      </c>
      <c r="C157">
        <f t="shared" si="2"/>
        <v>1.1789257172889563E-5</v>
      </c>
    </row>
    <row r="158" spans="1:3" x14ac:dyDescent="0.25">
      <c r="A158">
        <v>2.1559996604919398</v>
      </c>
      <c r="B158">
        <v>6.9364290237426696</v>
      </c>
      <c r="C158">
        <f t="shared" si="2"/>
        <v>1.1825917753424512E-5</v>
      </c>
    </row>
    <row r="159" spans="1:3" x14ac:dyDescent="0.25">
      <c r="A159">
        <v>2.16999983787536</v>
      </c>
      <c r="B159">
        <v>6.9342317581176696</v>
      </c>
      <c r="C159">
        <f t="shared" si="2"/>
        <v>1.1887530235914259E-5</v>
      </c>
    </row>
    <row r="160" spans="1:3" x14ac:dyDescent="0.25">
      <c r="A160">
        <v>2.18399977684021</v>
      </c>
      <c r="B160">
        <v>6.9328188896179199</v>
      </c>
      <c r="C160">
        <f t="shared" si="2"/>
        <v>1.1927900525626083E-5</v>
      </c>
    </row>
    <row r="161" spans="1:3" x14ac:dyDescent="0.25">
      <c r="A161">
        <v>2.1979997158050502</v>
      </c>
      <c r="B161">
        <v>6.9302616119384703</v>
      </c>
      <c r="C161">
        <f t="shared" si="2"/>
        <v>1.19999872236492E-5</v>
      </c>
    </row>
    <row r="162" spans="1:3" x14ac:dyDescent="0.25">
      <c r="A162">
        <v>2.2119998931884699</v>
      </c>
      <c r="B162">
        <v>6.9268994331359801</v>
      </c>
      <c r="C162">
        <f t="shared" si="2"/>
        <v>1.209490475413688E-5</v>
      </c>
    </row>
    <row r="163" spans="1:3" x14ac:dyDescent="0.25">
      <c r="A163">
        <v>2.2259998321533199</v>
      </c>
      <c r="B163">
        <v>6.9238977432250897</v>
      </c>
      <c r="C163">
        <f t="shared" si="2"/>
        <v>1.2180458142521489E-5</v>
      </c>
    </row>
    <row r="164" spans="1:3" x14ac:dyDescent="0.25">
      <c r="A164">
        <v>2.2399997711181601</v>
      </c>
      <c r="B164">
        <v>6.9225268363952601</v>
      </c>
      <c r="C164">
        <f t="shared" si="2"/>
        <v>1.2220641484674509E-5</v>
      </c>
    </row>
    <row r="165" spans="1:3" x14ac:dyDescent="0.25">
      <c r="A165">
        <v>2.2539997100829998</v>
      </c>
      <c r="B165">
        <v>6.9200410842895499</v>
      </c>
      <c r="C165">
        <f t="shared" si="2"/>
        <v>1.2292471791150943E-5</v>
      </c>
    </row>
    <row r="166" spans="1:3" x14ac:dyDescent="0.25">
      <c r="A166">
        <v>2.2679996490478498</v>
      </c>
      <c r="B166">
        <v>6.9166278839111301</v>
      </c>
      <c r="C166">
        <f t="shared" si="2"/>
        <v>1.2391157505073246E-5</v>
      </c>
    </row>
    <row r="167" spans="1:3" x14ac:dyDescent="0.25">
      <c r="A167">
        <v>2.28199982643127</v>
      </c>
      <c r="B167">
        <v>6.9115648269653303</v>
      </c>
      <c r="C167">
        <f t="shared" si="2"/>
        <v>1.2538176636337905E-5</v>
      </c>
    </row>
    <row r="168" spans="1:3" x14ac:dyDescent="0.25">
      <c r="A168">
        <v>2.2959997653961102</v>
      </c>
      <c r="B168">
        <v>6.9094815254211399</v>
      </c>
      <c r="C168">
        <f t="shared" si="2"/>
        <v>1.2600190922566568E-5</v>
      </c>
    </row>
    <row r="169" spans="1:3" x14ac:dyDescent="0.25">
      <c r="A169">
        <v>2.3099997043609601</v>
      </c>
      <c r="B169">
        <v>6.9072227478027299</v>
      </c>
      <c r="C169">
        <f t="shared" si="2"/>
        <v>1.2667629000366255E-5</v>
      </c>
    </row>
    <row r="170" spans="1:3" x14ac:dyDescent="0.25">
      <c r="A170">
        <v>2.3239998817443799</v>
      </c>
      <c r="B170">
        <v>6.9040985107421804</v>
      </c>
      <c r="C170">
        <f t="shared" si="2"/>
        <v>1.2760832196598804E-5</v>
      </c>
    </row>
    <row r="171" spans="1:3" x14ac:dyDescent="0.25">
      <c r="A171">
        <v>2.3379998207092201</v>
      </c>
      <c r="B171">
        <v>6.8999428749084402</v>
      </c>
      <c r="C171">
        <f t="shared" si="2"/>
        <v>1.2885285616179727E-5</v>
      </c>
    </row>
    <row r="172" spans="1:3" x14ac:dyDescent="0.25">
      <c r="A172">
        <v>2.35199975967407</v>
      </c>
      <c r="B172">
        <v>6.8954157829284597</v>
      </c>
      <c r="C172">
        <f t="shared" si="2"/>
        <v>1.3022085707731751E-5</v>
      </c>
    </row>
    <row r="173" spans="1:3" x14ac:dyDescent="0.25">
      <c r="A173">
        <v>2.3659996986389098</v>
      </c>
      <c r="B173">
        <v>6.8918786048889098</v>
      </c>
      <c r="C173">
        <f t="shared" si="2"/>
        <v>1.3130374927049169E-5</v>
      </c>
    </row>
    <row r="174" spans="1:3" x14ac:dyDescent="0.25">
      <c r="A174">
        <v>2.37999963760375</v>
      </c>
      <c r="B174">
        <v>6.8877434730529696</v>
      </c>
      <c r="C174">
        <f t="shared" si="2"/>
        <v>1.3257805721555037E-5</v>
      </c>
    </row>
    <row r="175" spans="1:3" x14ac:dyDescent="0.25">
      <c r="A175">
        <v>2.39399981498718</v>
      </c>
      <c r="B175">
        <v>6.8881149291992099</v>
      </c>
      <c r="C175">
        <f t="shared" si="2"/>
        <v>1.3248282461623826E-5</v>
      </c>
    </row>
    <row r="176" spans="1:3" x14ac:dyDescent="0.25">
      <c r="A176">
        <v>2.4079997539520201</v>
      </c>
      <c r="B176">
        <v>6.8909502029418901</v>
      </c>
      <c r="C176">
        <f t="shared" si="2"/>
        <v>1.3163872904511378E-5</v>
      </c>
    </row>
    <row r="177" spans="1:3" x14ac:dyDescent="0.25">
      <c r="A177">
        <v>2.4219996929168701</v>
      </c>
      <c r="B177">
        <v>6.8897542953491202</v>
      </c>
      <c r="C177">
        <f t="shared" si="2"/>
        <v>1.3201976502001497E-5</v>
      </c>
    </row>
    <row r="178" spans="1:3" x14ac:dyDescent="0.25">
      <c r="A178">
        <v>2.4359998703002899</v>
      </c>
      <c r="B178">
        <v>6.8911771774291903</v>
      </c>
      <c r="C178">
        <f t="shared" si="2"/>
        <v>1.3160592242192487E-5</v>
      </c>
    </row>
    <row r="179" spans="1:3" x14ac:dyDescent="0.25">
      <c r="A179">
        <v>2.4499998092651301</v>
      </c>
      <c r="B179">
        <v>6.8904552459716797</v>
      </c>
      <c r="C179">
        <f t="shared" si="2"/>
        <v>1.3184289053183586E-5</v>
      </c>
    </row>
    <row r="180" spans="1:3" x14ac:dyDescent="0.25">
      <c r="A180">
        <v>2.46399974822998</v>
      </c>
      <c r="B180">
        <v>6.8882484436035103</v>
      </c>
      <c r="C180">
        <f t="shared" si="2"/>
        <v>1.3253264372181317E-5</v>
      </c>
    </row>
    <row r="181" spans="1:3" x14ac:dyDescent="0.25">
      <c r="A181">
        <v>2.4779996871948198</v>
      </c>
      <c r="B181">
        <v>6.8859286308288503</v>
      </c>
      <c r="C181">
        <f t="shared" si="2"/>
        <v>1.3326067501678313E-5</v>
      </c>
    </row>
    <row r="182" spans="1:3" x14ac:dyDescent="0.25">
      <c r="A182">
        <v>2.49199962615966</v>
      </c>
      <c r="B182">
        <v>6.8824124336242596</v>
      </c>
      <c r="C182">
        <f t="shared" si="2"/>
        <v>1.3436233194802855E-5</v>
      </c>
    </row>
    <row r="183" spans="1:3" x14ac:dyDescent="0.25">
      <c r="A183">
        <v>2.5059998035430899</v>
      </c>
      <c r="B183">
        <v>6.8795251846313397</v>
      </c>
      <c r="C183">
        <f t="shared" si="2"/>
        <v>1.352770429323042E-5</v>
      </c>
    </row>
    <row r="184" spans="1:3" x14ac:dyDescent="0.25">
      <c r="A184">
        <v>2.5199997425079301</v>
      </c>
      <c r="B184">
        <v>6.8753180503845197</v>
      </c>
      <c r="C184">
        <f t="shared" si="2"/>
        <v>1.3661253367928729E-5</v>
      </c>
    </row>
    <row r="185" spans="1:3" x14ac:dyDescent="0.25">
      <c r="A185">
        <v>2.5339996814727699</v>
      </c>
      <c r="B185">
        <v>6.8711214065551696</v>
      </c>
      <c r="C185">
        <f t="shared" si="2"/>
        <v>1.3795787374785755E-5</v>
      </c>
    </row>
    <row r="186" spans="1:3" x14ac:dyDescent="0.25">
      <c r="A186">
        <v>2.5479998588561998</v>
      </c>
      <c r="B186">
        <v>6.8719668388366699</v>
      </c>
      <c r="C186">
        <f t="shared" si="2"/>
        <v>1.3770837555966805E-5</v>
      </c>
    </row>
    <row r="187" spans="1:3" x14ac:dyDescent="0.25">
      <c r="A187">
        <v>2.56199979782104</v>
      </c>
      <c r="B187">
        <v>6.8711524009704501</v>
      </c>
      <c r="C187">
        <f t="shared" si="2"/>
        <v>1.3798569944597879E-5</v>
      </c>
    </row>
    <row r="188" spans="1:3" x14ac:dyDescent="0.25">
      <c r="A188">
        <v>2.5759997367858798</v>
      </c>
      <c r="B188">
        <v>6.8683271408081001</v>
      </c>
      <c r="C188">
        <f t="shared" si="2"/>
        <v>1.3890523630169006E-5</v>
      </c>
    </row>
    <row r="189" spans="1:3" x14ac:dyDescent="0.25">
      <c r="A189">
        <v>2.5899996757507302</v>
      </c>
      <c r="B189">
        <v>6.8649139404296804</v>
      </c>
      <c r="C189">
        <f t="shared" si="2"/>
        <v>1.4002032714701117E-5</v>
      </c>
    </row>
    <row r="190" spans="1:3" x14ac:dyDescent="0.25">
      <c r="A190">
        <v>2.60399961471557</v>
      </c>
      <c r="B190">
        <v>6.8610167503356898</v>
      </c>
      <c r="C190">
        <f t="shared" si="2"/>
        <v>1.4130174983313577E-5</v>
      </c>
    </row>
    <row r="191" spans="1:3" x14ac:dyDescent="0.25">
      <c r="A191">
        <v>2.6179997920989901</v>
      </c>
      <c r="B191">
        <v>6.85961437225341</v>
      </c>
      <c r="C191">
        <f t="shared" si="2"/>
        <v>1.4177810685445247E-5</v>
      </c>
    </row>
    <row r="192" spans="1:3" x14ac:dyDescent="0.25">
      <c r="A192">
        <v>2.6319997310638401</v>
      </c>
      <c r="B192">
        <v>6.8571910858154297</v>
      </c>
      <c r="C192">
        <f t="shared" si="2"/>
        <v>1.4259086552117133E-5</v>
      </c>
    </row>
    <row r="193" spans="1:3" x14ac:dyDescent="0.25">
      <c r="A193">
        <v>2.6459996700286799</v>
      </c>
      <c r="B193">
        <v>6.8538503646850497</v>
      </c>
      <c r="C193">
        <f t="shared" si="2"/>
        <v>1.4371154685430203E-5</v>
      </c>
    </row>
    <row r="194" spans="1:3" x14ac:dyDescent="0.25">
      <c r="A194">
        <v>2.6599998474121</v>
      </c>
      <c r="B194">
        <v>6.8514170646667401</v>
      </c>
      <c r="C194">
        <f t="shared" si="2"/>
        <v>1.4453871674526856E-5</v>
      </c>
    </row>
    <row r="195" spans="1:3" x14ac:dyDescent="0.25">
      <c r="A195">
        <v>2.67399978637695</v>
      </c>
      <c r="B195">
        <v>6.8541083335876403</v>
      </c>
      <c r="C195">
        <f t="shared" si="2"/>
        <v>1.4366538704527803E-5</v>
      </c>
    </row>
    <row r="196" spans="1:3" x14ac:dyDescent="0.25">
      <c r="A196">
        <v>2.6879997253417902</v>
      </c>
      <c r="B196">
        <v>6.8555727005004803</v>
      </c>
      <c r="C196">
        <f t="shared" si="2"/>
        <v>1.4320131094116826E-5</v>
      </c>
    </row>
    <row r="197" spans="1:3" x14ac:dyDescent="0.25">
      <c r="A197">
        <v>2.7019996643066402</v>
      </c>
      <c r="B197">
        <v>6.85605764389038</v>
      </c>
      <c r="C197">
        <f t="shared" ref="C197:C260" si="3">(10^-B197)*(100+A197)</f>
        <v>1.4306099976702721E-5</v>
      </c>
    </row>
    <row r="198" spans="1:3" x14ac:dyDescent="0.25">
      <c r="A198">
        <v>2.7159996032714799</v>
      </c>
      <c r="B198">
        <v>6.857666015625</v>
      </c>
      <c r="C198">
        <f t="shared" si="3"/>
        <v>1.4255159511501812E-5</v>
      </c>
    </row>
    <row r="199" spans="1:3" x14ac:dyDescent="0.25">
      <c r="A199">
        <v>2.7299997806549001</v>
      </c>
      <c r="B199">
        <v>6.8588519096374503</v>
      </c>
      <c r="C199">
        <f t="shared" si="3"/>
        <v>1.421822483620206E-5</v>
      </c>
    </row>
    <row r="200" spans="1:3" x14ac:dyDescent="0.25">
      <c r="A200">
        <v>2.7439997196197501</v>
      </c>
      <c r="B200">
        <v>6.8568415641784597</v>
      </c>
      <c r="C200">
        <f t="shared" si="3"/>
        <v>1.4286140079402979E-5</v>
      </c>
    </row>
    <row r="201" spans="1:3" x14ac:dyDescent="0.25">
      <c r="A201">
        <v>2.7579996585845898</v>
      </c>
      <c r="B201">
        <v>6.8537898063659597</v>
      </c>
      <c r="C201">
        <f t="shared" si="3"/>
        <v>1.4388841713725654E-5</v>
      </c>
    </row>
    <row r="202" spans="1:3" x14ac:dyDescent="0.25">
      <c r="A202">
        <v>2.77199983596801</v>
      </c>
      <c r="B202">
        <v>6.8509850502014098</v>
      </c>
      <c r="C202">
        <f t="shared" si="3"/>
        <v>1.4484041394255993E-5</v>
      </c>
    </row>
    <row r="203" spans="1:3" x14ac:dyDescent="0.25">
      <c r="A203">
        <v>2.78599977493286</v>
      </c>
      <c r="B203">
        <v>6.8478817939758301</v>
      </c>
      <c r="C203">
        <f t="shared" si="3"/>
        <v>1.4589895139452992E-5</v>
      </c>
    </row>
    <row r="204" spans="1:3" x14ac:dyDescent="0.25">
      <c r="A204">
        <v>2.7999997138977002</v>
      </c>
      <c r="B204">
        <v>6.8446445465087802</v>
      </c>
      <c r="C204">
        <f t="shared" si="3"/>
        <v>1.4701057185329782E-5</v>
      </c>
    </row>
    <row r="205" spans="1:3" x14ac:dyDescent="0.25">
      <c r="A205">
        <v>2.8139996528625399</v>
      </c>
      <c r="B205">
        <v>6.8454899787902797</v>
      </c>
      <c r="C205">
        <f t="shared" si="3"/>
        <v>1.4674464959107722E-5</v>
      </c>
    </row>
    <row r="206" spans="1:3" x14ac:dyDescent="0.25">
      <c r="A206">
        <v>2.8279995918273899</v>
      </c>
      <c r="B206">
        <v>6.84322166442871</v>
      </c>
      <c r="C206">
        <f t="shared" si="3"/>
        <v>1.4753318653000034E-5</v>
      </c>
    </row>
    <row r="207" spans="1:3" x14ac:dyDescent="0.25">
      <c r="A207">
        <v>2.8419997692108101</v>
      </c>
      <c r="B207">
        <v>6.8390979766845703</v>
      </c>
      <c r="C207">
        <f t="shared" si="3"/>
        <v>1.4896098529025975E-5</v>
      </c>
    </row>
    <row r="208" spans="1:3" x14ac:dyDescent="0.25">
      <c r="A208">
        <v>2.8559997081756499</v>
      </c>
      <c r="B208">
        <v>6.8385925292968697</v>
      </c>
      <c r="C208">
        <f t="shared" si="3"/>
        <v>1.4915475407136218E-5</v>
      </c>
    </row>
    <row r="209" spans="1:3" x14ac:dyDescent="0.25">
      <c r="A209">
        <v>2.8699996471404998</v>
      </c>
      <c r="B209">
        <v>6.8379225730895996</v>
      </c>
      <c r="C209">
        <f t="shared" si="3"/>
        <v>1.4940535550762773E-5</v>
      </c>
    </row>
    <row r="210" spans="1:3" x14ac:dyDescent="0.25">
      <c r="A210">
        <v>2.88399982452392</v>
      </c>
      <c r="B210">
        <v>6.8372426033020002</v>
      </c>
      <c r="C210">
        <f t="shared" si="3"/>
        <v>1.4965982625020956E-5</v>
      </c>
    </row>
    <row r="211" spans="1:3" x14ac:dyDescent="0.25">
      <c r="A211">
        <v>2.8979997634887602</v>
      </c>
      <c r="B211">
        <v>6.8333554267883301</v>
      </c>
      <c r="C211">
        <f t="shared" si="3"/>
        <v>1.5102592549723327E-5</v>
      </c>
    </row>
    <row r="212" spans="1:3" x14ac:dyDescent="0.25">
      <c r="A212">
        <v>2.9119997024536102</v>
      </c>
      <c r="B212">
        <v>6.8290252685546804</v>
      </c>
      <c r="C212">
        <f t="shared" si="3"/>
        <v>1.5256002407971599E-5</v>
      </c>
    </row>
    <row r="213" spans="1:3" x14ac:dyDescent="0.25">
      <c r="A213">
        <v>2.9259996414184499</v>
      </c>
      <c r="B213">
        <v>6.8238291740417401</v>
      </c>
      <c r="C213">
        <f t="shared" si="3"/>
        <v>1.5441728759461929E-5</v>
      </c>
    </row>
    <row r="214" spans="1:3" x14ac:dyDescent="0.25">
      <c r="A214">
        <v>2.9399995803832999</v>
      </c>
      <c r="B214">
        <v>6.81855964660644</v>
      </c>
      <c r="C214">
        <f t="shared" si="3"/>
        <v>1.5632358834261691E-5</v>
      </c>
    </row>
    <row r="215" spans="1:3" x14ac:dyDescent="0.25">
      <c r="A215">
        <v>2.9539997577667201</v>
      </c>
      <c r="B215">
        <v>6.8138079643249503</v>
      </c>
      <c r="C215">
        <f t="shared" si="3"/>
        <v>1.5806483389351724E-5</v>
      </c>
    </row>
    <row r="216" spans="1:3" x14ac:dyDescent="0.25">
      <c r="A216">
        <v>2.9679996967315598</v>
      </c>
      <c r="B216">
        <v>6.8103542327880797</v>
      </c>
      <c r="C216">
        <f t="shared" si="3"/>
        <v>1.5934852332155433E-5</v>
      </c>
    </row>
    <row r="217" spans="1:3" x14ac:dyDescent="0.25">
      <c r="A217">
        <v>2.9819996356964098</v>
      </c>
      <c r="B217">
        <v>6.8061780929565403</v>
      </c>
      <c r="C217">
        <f t="shared" si="3"/>
        <v>1.6091007136707497E-5</v>
      </c>
    </row>
    <row r="218" spans="1:3" x14ac:dyDescent="0.25">
      <c r="A218">
        <v>2.99599981307983</v>
      </c>
      <c r="B218">
        <v>6.8034672737121502</v>
      </c>
      <c r="C218">
        <f t="shared" si="3"/>
        <v>1.6193960815217785E-5</v>
      </c>
    </row>
    <row r="219" spans="1:3" x14ac:dyDescent="0.25">
      <c r="A219">
        <v>3.0099997520446702</v>
      </c>
      <c r="B219">
        <v>6.7997241020202601</v>
      </c>
      <c r="C219">
        <f t="shared" si="3"/>
        <v>1.6336359579676799E-5</v>
      </c>
    </row>
    <row r="220" spans="1:3" x14ac:dyDescent="0.25">
      <c r="A220">
        <v>3.0239996910095202</v>
      </c>
      <c r="B220">
        <v>6.7977132797241202</v>
      </c>
      <c r="C220">
        <f t="shared" si="3"/>
        <v>1.6414404318122943E-5</v>
      </c>
    </row>
    <row r="221" spans="1:3" x14ac:dyDescent="0.25">
      <c r="A221">
        <v>3.0379996299743599</v>
      </c>
      <c r="B221">
        <v>6.79563188552856</v>
      </c>
      <c r="C221">
        <f t="shared" si="3"/>
        <v>1.6495501865193355E-5</v>
      </c>
    </row>
    <row r="222" spans="1:3" x14ac:dyDescent="0.25">
      <c r="A222">
        <v>3.0519995689392001</v>
      </c>
      <c r="B222">
        <v>6.7930650711059499</v>
      </c>
      <c r="C222">
        <f t="shared" si="3"/>
        <v>1.6595538605186716E-5</v>
      </c>
    </row>
    <row r="223" spans="1:3" x14ac:dyDescent="0.25">
      <c r="A223">
        <v>3.0659997463226301</v>
      </c>
      <c r="B223">
        <v>6.7899408340454102</v>
      </c>
      <c r="C223">
        <f t="shared" si="3"/>
        <v>1.6717625272911535E-5</v>
      </c>
    </row>
    <row r="224" spans="1:3" x14ac:dyDescent="0.25">
      <c r="A224">
        <v>3.0799996852874698</v>
      </c>
      <c r="B224">
        <v>6.7900967597961399</v>
      </c>
      <c r="C224">
        <f t="shared" si="3"/>
        <v>1.6713894201088237E-5</v>
      </c>
    </row>
    <row r="225" spans="1:3" x14ac:dyDescent="0.25">
      <c r="A225">
        <v>3.09399962425231</v>
      </c>
      <c r="B225">
        <v>6.7888498306274396</v>
      </c>
      <c r="C225">
        <f t="shared" si="3"/>
        <v>1.6764227976561173E-5</v>
      </c>
    </row>
    <row r="226" spans="1:3" x14ac:dyDescent="0.25">
      <c r="A226">
        <v>3.10799980163574</v>
      </c>
      <c r="B226">
        <v>6.7891483306884703</v>
      </c>
      <c r="C226">
        <f t="shared" si="3"/>
        <v>1.6754984536205396E-5</v>
      </c>
    </row>
    <row r="227" spans="1:3" x14ac:dyDescent="0.25">
      <c r="A227">
        <v>3.1219997406005802</v>
      </c>
      <c r="B227">
        <v>6.7895913124084402</v>
      </c>
      <c r="C227">
        <f t="shared" si="3"/>
        <v>1.6740175774882418E-5</v>
      </c>
    </row>
    <row r="228" spans="1:3" x14ac:dyDescent="0.25">
      <c r="A228">
        <v>3.1359996795654199</v>
      </c>
      <c r="B228">
        <v>6.79084968566894</v>
      </c>
      <c r="C228">
        <f t="shared" si="3"/>
        <v>1.6694007213098991E-5</v>
      </c>
    </row>
    <row r="229" spans="1:3" x14ac:dyDescent="0.25">
      <c r="A229">
        <v>3.1499996185302699</v>
      </c>
      <c r="B229">
        <v>6.7891907691955504</v>
      </c>
      <c r="C229">
        <f t="shared" si="3"/>
        <v>1.6760171624735828E-5</v>
      </c>
    </row>
    <row r="230" spans="1:3" x14ac:dyDescent="0.25">
      <c r="A230">
        <v>3.1639995574951101</v>
      </c>
      <c r="B230">
        <v>6.7850661277770996</v>
      </c>
      <c r="C230">
        <f t="shared" si="3"/>
        <v>1.6922403380521505E-5</v>
      </c>
    </row>
    <row r="231" spans="1:3" x14ac:dyDescent="0.25">
      <c r="A231">
        <v>3.17799973487854</v>
      </c>
      <c r="B231">
        <v>6.7795305252075098</v>
      </c>
      <c r="C231">
        <f t="shared" si="3"/>
        <v>1.7141806126864064E-5</v>
      </c>
    </row>
    <row r="232" spans="1:3" x14ac:dyDescent="0.25">
      <c r="A232">
        <v>3.1919996738433798</v>
      </c>
      <c r="B232">
        <v>6.7734379768371502</v>
      </c>
      <c r="C232">
        <f t="shared" si="3"/>
        <v>1.7386335327443197E-5</v>
      </c>
    </row>
    <row r="233" spans="1:3" x14ac:dyDescent="0.25">
      <c r="A233">
        <v>3.20599961280822</v>
      </c>
      <c r="B233">
        <v>6.7677249908447203</v>
      </c>
      <c r="C233">
        <f t="shared" si="3"/>
        <v>1.7618947187023262E-5</v>
      </c>
    </row>
    <row r="234" spans="1:3" x14ac:dyDescent="0.25">
      <c r="A234">
        <v>3.2199997901916499</v>
      </c>
      <c r="B234">
        <v>6.7620663642883301</v>
      </c>
      <c r="C234">
        <f t="shared" si="3"/>
        <v>1.7852436194642395E-5</v>
      </c>
    </row>
    <row r="235" spans="1:3" x14ac:dyDescent="0.25">
      <c r="A235">
        <v>3.2339997291564901</v>
      </c>
      <c r="B235">
        <v>6.7590665817260698</v>
      </c>
      <c r="C235">
        <f t="shared" si="3"/>
        <v>1.7978612515598642E-5</v>
      </c>
    </row>
    <row r="236" spans="1:3" x14ac:dyDescent="0.25">
      <c r="A236">
        <v>3.2479996681213299</v>
      </c>
      <c r="B236">
        <v>6.75929355621337</v>
      </c>
      <c r="C236">
        <f t="shared" si="3"/>
        <v>1.7971655714194152E-5</v>
      </c>
    </row>
    <row r="237" spans="1:3" x14ac:dyDescent="0.25">
      <c r="A237">
        <v>3.2619996070861799</v>
      </c>
      <c r="B237">
        <v>6.75630331039428</v>
      </c>
      <c r="C237">
        <f t="shared" si="3"/>
        <v>1.8098276554360967E-5</v>
      </c>
    </row>
    <row r="238" spans="1:3" x14ac:dyDescent="0.25">
      <c r="A238">
        <v>3.2759995460510201</v>
      </c>
      <c r="B238">
        <v>6.7533044815063397</v>
      </c>
      <c r="C238">
        <f t="shared" si="3"/>
        <v>1.8226149381817884E-5</v>
      </c>
    </row>
    <row r="239" spans="1:3" x14ac:dyDescent="0.25">
      <c r="A239">
        <v>3.2899997234344398</v>
      </c>
      <c r="B239">
        <v>6.7497062683105398</v>
      </c>
      <c r="C239">
        <f t="shared" si="3"/>
        <v>1.8380275130025675E-5</v>
      </c>
    </row>
    <row r="240" spans="1:3" x14ac:dyDescent="0.25">
      <c r="A240">
        <v>3.3039996623992902</v>
      </c>
      <c r="B240">
        <v>6.7431902885437003</v>
      </c>
      <c r="C240">
        <f t="shared" si="3"/>
        <v>1.8660653469685035E-5</v>
      </c>
    </row>
    <row r="241" spans="1:3" x14ac:dyDescent="0.25">
      <c r="A241">
        <v>3.31799960136413</v>
      </c>
      <c r="B241">
        <v>6.7366857528686497</v>
      </c>
      <c r="C241">
        <f t="shared" si="3"/>
        <v>1.8944809217204218E-5</v>
      </c>
    </row>
    <row r="242" spans="1:3" x14ac:dyDescent="0.25">
      <c r="A242">
        <v>3.3319997787475502</v>
      </c>
      <c r="B242">
        <v>6.7320370674133301</v>
      </c>
      <c r="C242">
        <f t="shared" si="3"/>
        <v>1.9151278281974223E-5</v>
      </c>
    </row>
    <row r="243" spans="1:3" x14ac:dyDescent="0.25">
      <c r="A243">
        <v>3.3459997177124001</v>
      </c>
      <c r="B243">
        <v>6.7324299812316797</v>
      </c>
      <c r="C243">
        <f t="shared" si="3"/>
        <v>1.9136551985845999E-5</v>
      </c>
    </row>
    <row r="244" spans="1:3" x14ac:dyDescent="0.25">
      <c r="A244">
        <v>3.3599996566772399</v>
      </c>
      <c r="B244">
        <v>6.7449455261230398</v>
      </c>
      <c r="C244">
        <f t="shared" si="3"/>
        <v>1.8595462013243964E-5</v>
      </c>
    </row>
    <row r="245" spans="1:3" x14ac:dyDescent="0.25">
      <c r="A245">
        <v>3.3739995956420898</v>
      </c>
      <c r="B245">
        <v>6.7576670646667401</v>
      </c>
      <c r="C245">
        <f t="shared" si="3"/>
        <v>1.8061102403830507E-5</v>
      </c>
    </row>
    <row r="246" spans="1:3" x14ac:dyDescent="0.25">
      <c r="A246">
        <v>3.38799953460693</v>
      </c>
      <c r="B246">
        <v>6.7681007385253897</v>
      </c>
      <c r="C246">
        <f t="shared" si="3"/>
        <v>1.7634753509307227E-5</v>
      </c>
    </row>
    <row r="247" spans="1:3" x14ac:dyDescent="0.25">
      <c r="A247">
        <v>3.4019997119903498</v>
      </c>
      <c r="B247">
        <v>6.7325015068054199</v>
      </c>
      <c r="C247">
        <f t="shared" si="3"/>
        <v>1.9143768372206538E-5</v>
      </c>
    </row>
    <row r="248" spans="1:3" x14ac:dyDescent="0.25">
      <c r="A248">
        <v>3.4159996509552002</v>
      </c>
      <c r="B248">
        <v>6.7270584106445304</v>
      </c>
      <c r="C248">
        <f t="shared" si="3"/>
        <v>1.938783538760844E-5</v>
      </c>
    </row>
    <row r="249" spans="1:3" x14ac:dyDescent="0.25">
      <c r="A249">
        <v>3.4299995899200399</v>
      </c>
      <c r="B249">
        <v>6.7210974693298304</v>
      </c>
      <c r="C249">
        <f t="shared" si="3"/>
        <v>1.9658440104414203E-5</v>
      </c>
    </row>
    <row r="250" spans="1:3" x14ac:dyDescent="0.25">
      <c r="A250">
        <v>3.4439997673034601</v>
      </c>
      <c r="B250">
        <v>6.7184085845947203</v>
      </c>
      <c r="C250">
        <f t="shared" si="3"/>
        <v>1.9783208130401365E-5</v>
      </c>
    </row>
    <row r="251" spans="1:3" x14ac:dyDescent="0.25">
      <c r="A251">
        <v>3.4579997062683101</v>
      </c>
      <c r="B251">
        <v>6.7155308723449698</v>
      </c>
      <c r="C251">
        <f t="shared" si="3"/>
        <v>1.9917425665956726E-5</v>
      </c>
    </row>
    <row r="252" spans="1:3" x14ac:dyDescent="0.25">
      <c r="A252">
        <v>3.4719996452331499</v>
      </c>
      <c r="B252">
        <v>6.7119431495666504</v>
      </c>
      <c r="C252">
        <f t="shared" si="3"/>
        <v>2.0085363345213873E-5</v>
      </c>
    </row>
    <row r="253" spans="1:3" x14ac:dyDescent="0.25">
      <c r="A253">
        <v>3.4859995841979901</v>
      </c>
      <c r="B253">
        <v>6.7080478668212802</v>
      </c>
      <c r="C253">
        <f t="shared" si="3"/>
        <v>2.0269065779356227E-5</v>
      </c>
    </row>
    <row r="254" spans="1:3" x14ac:dyDescent="0.25">
      <c r="A254">
        <v>3.49999952316284</v>
      </c>
      <c r="B254">
        <v>6.7033157348632804</v>
      </c>
      <c r="C254">
        <f t="shared" si="3"/>
        <v>2.0493900009125063E-5</v>
      </c>
    </row>
    <row r="255" spans="1:3" x14ac:dyDescent="0.25">
      <c r="A255">
        <v>3.5139997005462602</v>
      </c>
      <c r="B255">
        <v>6.7016129493713299</v>
      </c>
      <c r="C255">
        <f t="shared" si="3"/>
        <v>2.0577193443354915E-5</v>
      </c>
    </row>
    <row r="256" spans="1:3" x14ac:dyDescent="0.25">
      <c r="A256">
        <v>3.5279996395111</v>
      </c>
      <c r="B256">
        <v>6.6971917152404696</v>
      </c>
      <c r="C256">
        <f t="shared" si="3"/>
        <v>2.0790556175193885E-5</v>
      </c>
    </row>
    <row r="257" spans="1:3" x14ac:dyDescent="0.25">
      <c r="A257">
        <v>3.5419995784759499</v>
      </c>
      <c r="B257">
        <v>6.6915321350097603</v>
      </c>
      <c r="C257">
        <f t="shared" si="3"/>
        <v>2.1066113158603979E-5</v>
      </c>
    </row>
    <row r="258" spans="1:3" x14ac:dyDescent="0.25">
      <c r="A258">
        <v>3.5559997558593701</v>
      </c>
      <c r="B258">
        <v>6.6848607063293404</v>
      </c>
      <c r="C258">
        <f t="shared" si="3"/>
        <v>2.1395111763235962E-5</v>
      </c>
    </row>
    <row r="259" spans="1:3" x14ac:dyDescent="0.25">
      <c r="A259">
        <v>3.5699996948242099</v>
      </c>
      <c r="B259">
        <v>6.6796245574951101</v>
      </c>
      <c r="C259">
        <f t="shared" si="3"/>
        <v>2.165755457591073E-5</v>
      </c>
    </row>
    <row r="260" spans="1:3" x14ac:dyDescent="0.25">
      <c r="A260">
        <v>3.5839996337890598</v>
      </c>
      <c r="B260">
        <v>6.6733255386352504</v>
      </c>
      <c r="C260">
        <f t="shared" si="3"/>
        <v>2.1976935701339989E-5</v>
      </c>
    </row>
    <row r="261" spans="1:3" x14ac:dyDescent="0.25">
      <c r="A261">
        <v>3.5979995727539</v>
      </c>
      <c r="B261">
        <v>6.6708621978759703</v>
      </c>
      <c r="C261">
        <f t="shared" ref="C261:C324" si="4">(10^-B261)*(100+A261)</f>
        <v>2.2104931406854977E-5</v>
      </c>
    </row>
    <row r="262" spans="1:3" x14ac:dyDescent="0.25">
      <c r="A262">
        <v>3.61199951171875</v>
      </c>
      <c r="B262">
        <v>6.6669654846191397</v>
      </c>
      <c r="C262">
        <f t="shared" si="4"/>
        <v>2.2307174788088983E-5</v>
      </c>
    </row>
    <row r="263" spans="1:3" x14ac:dyDescent="0.25">
      <c r="A263">
        <v>3.6259996891021702</v>
      </c>
      <c r="B263">
        <v>6.6620302200317303</v>
      </c>
      <c r="C263">
        <f t="shared" si="4"/>
        <v>2.2565164985820285E-5</v>
      </c>
    </row>
    <row r="264" spans="1:3" x14ac:dyDescent="0.25">
      <c r="A264">
        <v>3.6399996280670099</v>
      </c>
      <c r="B264">
        <v>6.6575036048889098</v>
      </c>
      <c r="C264">
        <f t="shared" si="4"/>
        <v>2.2804670304443347E-5</v>
      </c>
    </row>
    <row r="265" spans="1:3" x14ac:dyDescent="0.25">
      <c r="A265">
        <v>3.6539995670318599</v>
      </c>
      <c r="B265">
        <v>6.6520013809204102</v>
      </c>
      <c r="C265">
        <f t="shared" si="4"/>
        <v>2.3098548153497936E-5</v>
      </c>
    </row>
    <row r="266" spans="1:3" x14ac:dyDescent="0.25">
      <c r="A266">
        <v>3.6679997444152801</v>
      </c>
      <c r="B266">
        <v>6.6459889411926198</v>
      </c>
      <c r="C266">
        <f t="shared" si="4"/>
        <v>2.3423715135237089E-5</v>
      </c>
    </row>
    <row r="267" spans="1:3" x14ac:dyDescent="0.25">
      <c r="A267">
        <v>3.6819996833801198</v>
      </c>
      <c r="B267">
        <v>6.6386375427245996</v>
      </c>
      <c r="C267">
        <f t="shared" si="4"/>
        <v>2.3826805628015598E-5</v>
      </c>
    </row>
    <row r="268" spans="1:3" x14ac:dyDescent="0.25">
      <c r="A268">
        <v>3.6959996223449698</v>
      </c>
      <c r="B268">
        <v>6.6310601234436</v>
      </c>
      <c r="C268">
        <f t="shared" si="4"/>
        <v>2.4249449231420547E-5</v>
      </c>
    </row>
    <row r="269" spans="1:3" x14ac:dyDescent="0.25">
      <c r="A269">
        <v>3.70999956130981</v>
      </c>
      <c r="B269">
        <v>6.6262788772582999</v>
      </c>
      <c r="C269">
        <f t="shared" si="4"/>
        <v>2.4521202011426234E-5</v>
      </c>
    </row>
    <row r="270" spans="1:3" x14ac:dyDescent="0.25">
      <c r="A270">
        <v>3.7239995002746502</v>
      </c>
      <c r="B270">
        <v>6.6238045692443803</v>
      </c>
      <c r="C270">
        <f t="shared" si="4"/>
        <v>2.4664634558862995E-5</v>
      </c>
    </row>
    <row r="271" spans="1:3" x14ac:dyDescent="0.25">
      <c r="A271">
        <v>3.7379996776580802</v>
      </c>
      <c r="B271">
        <v>6.6212453842162997</v>
      </c>
      <c r="C271">
        <f t="shared" si="4"/>
        <v>2.4813754736038197E-5</v>
      </c>
    </row>
    <row r="272" spans="1:3" x14ac:dyDescent="0.25">
      <c r="A272">
        <v>3.7519996166229199</v>
      </c>
      <c r="B272">
        <v>6.6180396080017001</v>
      </c>
      <c r="C272">
        <f t="shared" si="4"/>
        <v>2.5000970498974642E-5</v>
      </c>
    </row>
    <row r="273" spans="1:3" x14ac:dyDescent="0.25">
      <c r="A273">
        <v>3.7659995555877601</v>
      </c>
      <c r="B273">
        <v>6.6134438514709402</v>
      </c>
      <c r="C273">
        <f t="shared" si="4"/>
        <v>2.5270347985945801E-5</v>
      </c>
    </row>
    <row r="274" spans="1:3" x14ac:dyDescent="0.25">
      <c r="A274">
        <v>3.7799997329711901</v>
      </c>
      <c r="B274">
        <v>6.6077723503112704</v>
      </c>
      <c r="C274">
        <f t="shared" si="4"/>
        <v>2.5605974869820252E-5</v>
      </c>
    </row>
    <row r="275" spans="1:3" x14ac:dyDescent="0.25">
      <c r="A275">
        <v>3.7939996719360298</v>
      </c>
      <c r="B275">
        <v>6.6025447845458896</v>
      </c>
      <c r="C275">
        <f t="shared" si="4"/>
        <v>2.5919550348701931E-5</v>
      </c>
    </row>
    <row r="276" spans="1:3" x14ac:dyDescent="0.25">
      <c r="A276">
        <v>3.80799961090087</v>
      </c>
      <c r="B276">
        <v>6.59925937652587</v>
      </c>
      <c r="C276">
        <f t="shared" si="4"/>
        <v>2.6119896138493773E-5</v>
      </c>
    </row>
    <row r="277" spans="1:3" x14ac:dyDescent="0.25">
      <c r="A277">
        <v>3.82199954986572</v>
      </c>
      <c r="B277">
        <v>6.5954322814941397</v>
      </c>
      <c r="C277">
        <f t="shared" si="4"/>
        <v>2.6354641163986079E-5</v>
      </c>
    </row>
    <row r="278" spans="1:3" x14ac:dyDescent="0.25">
      <c r="A278">
        <v>3.8359994888305602</v>
      </c>
      <c r="B278">
        <v>6.5907201766967702</v>
      </c>
      <c r="C278">
        <f t="shared" si="4"/>
        <v>2.6645739082551223E-5</v>
      </c>
    </row>
    <row r="279" spans="1:3" x14ac:dyDescent="0.25">
      <c r="A279">
        <v>3.8499996662139799</v>
      </c>
      <c r="B279">
        <v>6.5844235420226997</v>
      </c>
      <c r="C279">
        <f t="shared" si="4"/>
        <v>2.7038522576845374E-5</v>
      </c>
    </row>
    <row r="280" spans="1:3" x14ac:dyDescent="0.25">
      <c r="A280">
        <v>3.8639996051788299</v>
      </c>
      <c r="B280">
        <v>6.5771050453186</v>
      </c>
      <c r="C280">
        <f t="shared" si="4"/>
        <v>2.7501728928247176E-5</v>
      </c>
    </row>
    <row r="281" spans="1:3" x14ac:dyDescent="0.25">
      <c r="A281">
        <v>3.8779995441436701</v>
      </c>
      <c r="B281">
        <v>6.5703215599059996</v>
      </c>
      <c r="C281">
        <f t="shared" si="4"/>
        <v>2.7938431306781193E-5</v>
      </c>
    </row>
    <row r="282" spans="1:3" x14ac:dyDescent="0.25">
      <c r="A282">
        <v>3.8919997215270898</v>
      </c>
      <c r="B282">
        <v>6.56489753723144</v>
      </c>
      <c r="C282">
        <f t="shared" si="4"/>
        <v>2.8293362798364235E-5</v>
      </c>
    </row>
    <row r="283" spans="1:3" x14ac:dyDescent="0.25">
      <c r="A283">
        <v>3.9059996604919398</v>
      </c>
      <c r="B283">
        <v>6.5601749420165998</v>
      </c>
      <c r="C283">
        <f t="shared" si="4"/>
        <v>2.8606563086500892E-5</v>
      </c>
    </row>
    <row r="284" spans="1:3" x14ac:dyDescent="0.25">
      <c r="A284">
        <v>3.91999959945678</v>
      </c>
      <c r="B284">
        <v>6.5573740005493102</v>
      </c>
      <c r="C284">
        <f t="shared" si="4"/>
        <v>2.8795533940904583E-5</v>
      </c>
    </row>
    <row r="285" spans="1:3" x14ac:dyDescent="0.25">
      <c r="A285">
        <v>3.93399953842163</v>
      </c>
      <c r="B285">
        <v>6.5532603263854901</v>
      </c>
      <c r="C285">
        <f t="shared" si="4"/>
        <v>2.9073499750597236E-5</v>
      </c>
    </row>
    <row r="286" spans="1:3" x14ac:dyDescent="0.25">
      <c r="A286">
        <v>3.9479994773864702</v>
      </c>
      <c r="B286">
        <v>6.5496239662170401</v>
      </c>
      <c r="C286">
        <f t="shared" si="4"/>
        <v>2.932190412285691E-5</v>
      </c>
    </row>
    <row r="287" spans="1:3" x14ac:dyDescent="0.25">
      <c r="A287">
        <v>3.9619996547698899</v>
      </c>
      <c r="B287">
        <v>6.5443987846374503</v>
      </c>
      <c r="C287">
        <f t="shared" si="4"/>
        <v>2.9680816210824575E-5</v>
      </c>
    </row>
    <row r="288" spans="1:3" x14ac:dyDescent="0.25">
      <c r="A288">
        <v>3.9759995937347399</v>
      </c>
      <c r="B288">
        <v>6.5387096405029297</v>
      </c>
      <c r="C288">
        <f t="shared" si="4"/>
        <v>3.0076234599188184E-5</v>
      </c>
    </row>
    <row r="289" spans="1:5" x14ac:dyDescent="0.25">
      <c r="A289">
        <v>3.9899995326995801</v>
      </c>
      <c r="B289">
        <v>6.5311136245727504</v>
      </c>
      <c r="C289">
        <f t="shared" si="4"/>
        <v>3.0611030613007689E-5</v>
      </c>
    </row>
    <row r="290" spans="1:5" x14ac:dyDescent="0.25">
      <c r="A290">
        <v>4.0039997100829998</v>
      </c>
      <c r="B290">
        <v>6.5262503623962402</v>
      </c>
      <c r="C290">
        <f t="shared" si="4"/>
        <v>3.0959909250020863E-5</v>
      </c>
    </row>
    <row r="291" spans="1:5" x14ac:dyDescent="0.25">
      <c r="A291">
        <v>4.0179996490478498</v>
      </c>
      <c r="B291">
        <v>6.5210065841674796</v>
      </c>
      <c r="C291">
        <f t="shared" si="4"/>
        <v>3.1340210816450724E-5</v>
      </c>
    </row>
    <row r="292" spans="1:5" x14ac:dyDescent="0.25">
      <c r="A292">
        <v>4.03199958801269</v>
      </c>
      <c r="B292">
        <v>6.5147242546081499</v>
      </c>
      <c r="C292">
        <f t="shared" si="4"/>
        <v>3.1801140200281197E-5</v>
      </c>
    </row>
    <row r="293" spans="1:5" x14ac:dyDescent="0.25">
      <c r="A293">
        <v>4.0459995269775302</v>
      </c>
      <c r="B293">
        <v>6.5102467536926198</v>
      </c>
      <c r="C293">
        <f t="shared" si="4"/>
        <v>3.213502432214566E-5</v>
      </c>
    </row>
    <row r="294" spans="1:5" x14ac:dyDescent="0.25">
      <c r="A294">
        <v>4.0599994659423801</v>
      </c>
      <c r="B294">
        <v>6.5052428245544398</v>
      </c>
      <c r="C294">
        <f t="shared" si="4"/>
        <v>3.2511798511167549E-5</v>
      </c>
    </row>
    <row r="295" spans="1:5" x14ac:dyDescent="0.25">
      <c r="A295">
        <v>4.0739994049072203</v>
      </c>
      <c r="B295">
        <v>6.4986262321472097</v>
      </c>
      <c r="C295">
        <f t="shared" si="4"/>
        <v>3.3015358085833387E-5</v>
      </c>
    </row>
    <row r="296" spans="1:5" x14ac:dyDescent="0.25">
      <c r="A296">
        <v>4.0879993438720703</v>
      </c>
      <c r="B296">
        <v>6.4928951263427699</v>
      </c>
      <c r="C296">
        <f t="shared" si="4"/>
        <v>3.3458428186922344E-5</v>
      </c>
    </row>
    <row r="297" spans="1:5" x14ac:dyDescent="0.25">
      <c r="A297">
        <v>4.1019997596740696</v>
      </c>
      <c r="B297">
        <v>6.4837093353271396</v>
      </c>
      <c r="C297">
        <f t="shared" si="4"/>
        <v>3.4178243291238518E-5</v>
      </c>
    </row>
    <row r="298" spans="1:5" x14ac:dyDescent="0.25">
      <c r="A298">
        <v>4.1159996986389098</v>
      </c>
      <c r="B298">
        <v>6.47552061080932</v>
      </c>
      <c r="C298">
        <f t="shared" si="4"/>
        <v>3.4833479866512774E-5</v>
      </c>
    </row>
    <row r="299" spans="1:5" x14ac:dyDescent="0.25">
      <c r="A299">
        <v>4.1299996376037598</v>
      </c>
      <c r="B299">
        <v>6.4686293601989702</v>
      </c>
      <c r="C299">
        <f t="shared" si="4"/>
        <v>3.5395374088260893E-5</v>
      </c>
    </row>
    <row r="300" spans="1:5" x14ac:dyDescent="0.25">
      <c r="A300">
        <v>4.1439995765686</v>
      </c>
      <c r="B300">
        <v>6.4598655700683496</v>
      </c>
      <c r="C300">
        <f t="shared" si="4"/>
        <v>3.6121741668738565E-5</v>
      </c>
    </row>
    <row r="301" spans="1:5" x14ac:dyDescent="0.25">
      <c r="A301">
        <v>4.1579995155334402</v>
      </c>
      <c r="B301">
        <v>6.4530529975891104</v>
      </c>
      <c r="C301">
        <f t="shared" si="4"/>
        <v>3.669776646010436E-5</v>
      </c>
      <c r="D301">
        <v>11362.99609375</v>
      </c>
      <c r="E301">
        <v>21.6689052581787</v>
      </c>
    </row>
    <row r="302" spans="1:5" x14ac:dyDescent="0.25">
      <c r="A302">
        <v>4.1719994544982901</v>
      </c>
      <c r="B302">
        <v>6.4490680694579998</v>
      </c>
      <c r="C302">
        <f t="shared" si="4"/>
        <v>3.7041019418149292E-5</v>
      </c>
      <c r="D302">
        <v>11423.1962890625</v>
      </c>
      <c r="E302">
        <v>21.671777725219702</v>
      </c>
    </row>
    <row r="303" spans="1:5" x14ac:dyDescent="0.25">
      <c r="A303">
        <v>4.1859993934631303</v>
      </c>
      <c r="B303">
        <v>6.44518613815307</v>
      </c>
      <c r="C303">
        <f t="shared" si="4"/>
        <v>3.737861659624295E-5</v>
      </c>
      <c r="D303">
        <v>11480.896484375</v>
      </c>
      <c r="E303">
        <v>21.667945861816399</v>
      </c>
    </row>
    <row r="304" spans="1:5" x14ac:dyDescent="0.25">
      <c r="A304">
        <v>4.1999998092651296</v>
      </c>
      <c r="B304">
        <v>6.4391736984252903</v>
      </c>
      <c r="C304">
        <f t="shared" si="4"/>
        <v>3.7904783439930207E-5</v>
      </c>
      <c r="D304">
        <v>11519.8974609375</v>
      </c>
      <c r="E304">
        <v>21.673053741455</v>
      </c>
    </row>
    <row r="305" spans="1:5" x14ac:dyDescent="0.25">
      <c r="A305">
        <v>4.2139997482299796</v>
      </c>
      <c r="B305">
        <v>6.4324092864990199</v>
      </c>
      <c r="C305">
        <f t="shared" si="4"/>
        <v>3.8504968993013584E-5</v>
      </c>
      <c r="D305">
        <v>11550.49609375</v>
      </c>
      <c r="E305">
        <v>21.671777725219702</v>
      </c>
    </row>
    <row r="306" spans="1:5" x14ac:dyDescent="0.25">
      <c r="A306">
        <v>4.2279996871948198</v>
      </c>
      <c r="B306">
        <v>6.4240593910217196</v>
      </c>
      <c r="C306">
        <f t="shared" si="4"/>
        <v>3.9257714469991173E-5</v>
      </c>
      <c r="D306">
        <v>11583.8994140625</v>
      </c>
      <c r="E306">
        <v>21.671777725219702</v>
      </c>
    </row>
    <row r="307" spans="1:5" x14ac:dyDescent="0.25">
      <c r="A307">
        <v>4.24199962615966</v>
      </c>
      <c r="B307">
        <v>6.4148969650268501</v>
      </c>
      <c r="C307">
        <f t="shared" si="4"/>
        <v>4.0100128898735678E-5</v>
      </c>
      <c r="D307">
        <v>11612.1005859375</v>
      </c>
      <c r="E307">
        <v>21.673053741455</v>
      </c>
    </row>
    <row r="308" spans="1:5" x14ac:dyDescent="0.25">
      <c r="A308">
        <v>4.2559995651245099</v>
      </c>
      <c r="B308">
        <v>6.4058895111083896</v>
      </c>
      <c r="C308">
        <f t="shared" si="4"/>
        <v>4.0946005965715732E-5</v>
      </c>
      <c r="D308">
        <v>11645.3994140625</v>
      </c>
      <c r="E308">
        <v>21.674331665038999</v>
      </c>
    </row>
    <row r="309" spans="1:5" x14ac:dyDescent="0.25">
      <c r="A309">
        <v>4.2699995040893501</v>
      </c>
      <c r="B309">
        <v>6.3968687057495099</v>
      </c>
      <c r="C309">
        <f t="shared" si="4"/>
        <v>4.1811010682934778E-5</v>
      </c>
      <c r="D309">
        <v>11675.8974609375</v>
      </c>
      <c r="E309">
        <v>21.6740112304687</v>
      </c>
    </row>
    <row r="310" spans="1:5" x14ac:dyDescent="0.25">
      <c r="A310">
        <v>4.2839994430541903</v>
      </c>
      <c r="B310">
        <v>6.38740634918212</v>
      </c>
      <c r="C310">
        <f t="shared" si="4"/>
        <v>4.2737718035817593E-5</v>
      </c>
      <c r="D310">
        <v>11716.6962890625</v>
      </c>
      <c r="E310">
        <v>21.674331665038999</v>
      </c>
    </row>
    <row r="311" spans="1:5" x14ac:dyDescent="0.25">
      <c r="A311">
        <v>4.2979993820190403</v>
      </c>
      <c r="B311">
        <v>6.3811674118041903</v>
      </c>
      <c r="C311">
        <f t="shared" si="4"/>
        <v>4.3361926222132988E-5</v>
      </c>
      <c r="D311">
        <v>11771.099609375</v>
      </c>
      <c r="E311">
        <v>21.673053741455</v>
      </c>
    </row>
    <row r="312" spans="1:5" x14ac:dyDescent="0.25">
      <c r="A312">
        <v>4.3119993209838796</v>
      </c>
      <c r="B312">
        <v>6.3763365745544398</v>
      </c>
      <c r="C312">
        <f t="shared" si="4"/>
        <v>4.3852837023474484E-5</v>
      </c>
      <c r="D312">
        <v>11831.2958984375</v>
      </c>
      <c r="E312">
        <v>21.675289154052699</v>
      </c>
    </row>
    <row r="313" spans="1:5" x14ac:dyDescent="0.25">
      <c r="A313">
        <v>4.3259997367858798</v>
      </c>
      <c r="B313">
        <v>6.3702259063720703</v>
      </c>
      <c r="C313">
        <f t="shared" si="4"/>
        <v>4.4480191546591787E-5</v>
      </c>
      <c r="D313">
        <v>11876.1005859375</v>
      </c>
      <c r="E313">
        <v>21.676565170288001</v>
      </c>
    </row>
    <row r="314" spans="1:5" x14ac:dyDescent="0.25">
      <c r="A314">
        <v>4.3399996757507298</v>
      </c>
      <c r="B314">
        <v>6.3637056350707999</v>
      </c>
      <c r="C314">
        <f t="shared" si="4"/>
        <v>4.5159091464597919E-5</v>
      </c>
      <c r="D314">
        <v>11925.7958984375</v>
      </c>
      <c r="E314">
        <v>21.679437637329102</v>
      </c>
    </row>
    <row r="315" spans="1:5" x14ac:dyDescent="0.25">
      <c r="A315">
        <v>4.35399961471557</v>
      </c>
      <c r="B315">
        <v>6.3565678596496502</v>
      </c>
      <c r="C315">
        <f t="shared" si="4"/>
        <v>4.5913588699993578E-5</v>
      </c>
      <c r="D315">
        <v>11964.0966796875</v>
      </c>
      <c r="E315">
        <v>21.676885604858398</v>
      </c>
    </row>
    <row r="316" spans="1:5" x14ac:dyDescent="0.25">
      <c r="A316">
        <v>4.3679995536804199</v>
      </c>
      <c r="B316">
        <v>6.3485913276672301</v>
      </c>
      <c r="C316">
        <f t="shared" si="4"/>
        <v>4.6770932809169576E-5</v>
      </c>
      <c r="D316">
        <v>12015.1962890625</v>
      </c>
      <c r="E316">
        <v>21.6781616210937</v>
      </c>
    </row>
    <row r="317" spans="1:5" x14ac:dyDescent="0.25">
      <c r="A317">
        <v>4.3819994926452601</v>
      </c>
      <c r="B317">
        <v>6.3427925109863201</v>
      </c>
      <c r="C317">
        <f t="shared" si="4"/>
        <v>4.7405976921539816E-5</v>
      </c>
      <c r="D317">
        <v>12072.0966796875</v>
      </c>
      <c r="E317">
        <v>21.680715560913001</v>
      </c>
    </row>
    <row r="318" spans="1:5" x14ac:dyDescent="0.25">
      <c r="A318">
        <v>4.3959994316101003</v>
      </c>
      <c r="B318">
        <v>6.3357615470886204</v>
      </c>
      <c r="C318">
        <f t="shared" si="4"/>
        <v>4.8186158991534059E-5</v>
      </c>
      <c r="D318">
        <v>12114.900390625</v>
      </c>
      <c r="E318">
        <v>21.680397033691399</v>
      </c>
    </row>
    <row r="319" spans="1:5" x14ac:dyDescent="0.25">
      <c r="A319">
        <v>4.4099993705749503</v>
      </c>
      <c r="B319">
        <v>6.3271131515502903</v>
      </c>
      <c r="C319">
        <f t="shared" si="4"/>
        <v>4.9161931981412792E-5</v>
      </c>
      <c r="D319">
        <v>12152.1025390625</v>
      </c>
      <c r="E319">
        <v>21.680397033691399</v>
      </c>
    </row>
    <row r="320" spans="1:5" x14ac:dyDescent="0.25">
      <c r="A320">
        <v>4.4239997863769496</v>
      </c>
      <c r="B320">
        <v>6.3179783821105904</v>
      </c>
      <c r="C320">
        <f t="shared" si="4"/>
        <v>5.0213667444814121E-5</v>
      </c>
      <c r="D320">
        <v>12194.1005859375</v>
      </c>
      <c r="E320">
        <v>21.679437637329102</v>
      </c>
    </row>
    <row r="321" spans="1:5" x14ac:dyDescent="0.25">
      <c r="A321">
        <v>4.4379997253417898</v>
      </c>
      <c r="B321">
        <v>6.3082566261291504</v>
      </c>
      <c r="C321">
        <f t="shared" si="4"/>
        <v>5.1357268734642235E-5</v>
      </c>
      <c r="D321">
        <v>12227.400390625</v>
      </c>
      <c r="E321">
        <v>21.684226989746001</v>
      </c>
    </row>
    <row r="322" spans="1:5" x14ac:dyDescent="0.25">
      <c r="A322">
        <v>4.4519996643066397</v>
      </c>
      <c r="B322">
        <v>6.29795122146606</v>
      </c>
      <c r="C322">
        <f t="shared" si="4"/>
        <v>5.2597552673209475E-5</v>
      </c>
      <c r="D322">
        <v>12264.99609375</v>
      </c>
      <c r="E322">
        <v>21.680397033691399</v>
      </c>
    </row>
    <row r="323" spans="1:5" x14ac:dyDescent="0.25">
      <c r="A323">
        <v>4.4659996032714799</v>
      </c>
      <c r="B323">
        <v>6.2892947196960396</v>
      </c>
      <c r="C323">
        <f t="shared" si="4"/>
        <v>5.36636544650585E-5</v>
      </c>
      <c r="D323">
        <v>12325.19921875</v>
      </c>
      <c r="E323">
        <v>21.681673049926701</v>
      </c>
    </row>
    <row r="324" spans="1:5" x14ac:dyDescent="0.25">
      <c r="A324">
        <v>4.4799995422363201</v>
      </c>
      <c r="B324">
        <v>6.2812261581420898</v>
      </c>
      <c r="C324">
        <f t="shared" si="4"/>
        <v>5.4677292848900652E-5</v>
      </c>
      <c r="D324">
        <v>12366.0966796875</v>
      </c>
      <c r="E324">
        <v>21.677843093871999</v>
      </c>
    </row>
    <row r="325" spans="1:5" x14ac:dyDescent="0.25">
      <c r="A325">
        <v>4.4939994812011701</v>
      </c>
      <c r="B325">
        <v>6.2722225189208896</v>
      </c>
      <c r="C325">
        <f t="shared" ref="C325:C388" si="5">(10^-B325)*(100+A325)</f>
        <v>5.5830154937223505E-5</v>
      </c>
      <c r="D325">
        <v>12403.201171875</v>
      </c>
      <c r="E325">
        <v>21.680715560913001</v>
      </c>
    </row>
    <row r="326" spans="1:5" x14ac:dyDescent="0.25">
      <c r="A326">
        <v>4.5079994201660103</v>
      </c>
      <c r="B326">
        <v>6.2612228393554599</v>
      </c>
      <c r="C326">
        <f t="shared" si="5"/>
        <v>5.7269935611097437E-5</v>
      </c>
      <c r="D326">
        <v>12435.998046875</v>
      </c>
      <c r="E326">
        <v>21.680397033691399</v>
      </c>
    </row>
    <row r="327" spans="1:5" x14ac:dyDescent="0.25">
      <c r="A327">
        <v>4.5219993591308496</v>
      </c>
      <c r="B327">
        <v>6.2504096031188903</v>
      </c>
      <c r="C327">
        <f t="shared" si="5"/>
        <v>5.8721630432836119E-5</v>
      </c>
      <c r="D327">
        <v>12487.6962890625</v>
      </c>
      <c r="E327">
        <v>21.680397033691399</v>
      </c>
    </row>
    <row r="328" spans="1:5" x14ac:dyDescent="0.25">
      <c r="A328">
        <v>4.5359992980956996</v>
      </c>
      <c r="B328">
        <v>6.2406811714172301</v>
      </c>
      <c r="C328">
        <f t="shared" si="5"/>
        <v>6.0059913690690397E-5</v>
      </c>
      <c r="D328">
        <v>12526.4990234375</v>
      </c>
      <c r="E328">
        <v>21.681673049926701</v>
      </c>
    </row>
    <row r="329" spans="1:5" x14ac:dyDescent="0.25">
      <c r="A329">
        <v>4.5499997138976997</v>
      </c>
      <c r="B329">
        <v>6.2300515174865696</v>
      </c>
      <c r="C329">
        <f t="shared" si="5"/>
        <v>6.1556301548273024E-5</v>
      </c>
      <c r="D329">
        <v>12567.7958984375</v>
      </c>
      <c r="E329">
        <v>21.680715560913001</v>
      </c>
    </row>
    <row r="330" spans="1:5" x14ac:dyDescent="0.25">
      <c r="A330">
        <v>4.5639996528625399</v>
      </c>
      <c r="B330">
        <v>6.21937704086303</v>
      </c>
      <c r="C330">
        <f t="shared" si="5"/>
        <v>6.3096482098148559E-5</v>
      </c>
      <c r="D330">
        <v>12621.396484375</v>
      </c>
      <c r="E330">
        <v>21.682949066162099</v>
      </c>
    </row>
    <row r="331" spans="1:5" x14ac:dyDescent="0.25">
      <c r="A331">
        <v>4.5779995918273899</v>
      </c>
      <c r="B331">
        <v>6.2097415924072203</v>
      </c>
      <c r="C331">
        <f t="shared" si="5"/>
        <v>6.4520650574173349E-5</v>
      </c>
      <c r="D331">
        <v>12661.5966796875</v>
      </c>
      <c r="E331">
        <v>21.679437637329102</v>
      </c>
    </row>
    <row r="332" spans="1:5" x14ac:dyDescent="0.25">
      <c r="A332">
        <v>4.5919995307922301</v>
      </c>
      <c r="B332">
        <v>6.1989369392395002</v>
      </c>
      <c r="C332">
        <f t="shared" si="5"/>
        <v>6.6154825228722586E-5</v>
      </c>
      <c r="D332">
        <v>12705.7958984375</v>
      </c>
      <c r="E332">
        <v>21.683269500732401</v>
      </c>
    </row>
    <row r="333" spans="1:5" x14ac:dyDescent="0.25">
      <c r="A333">
        <v>4.6059994697570801</v>
      </c>
      <c r="B333">
        <v>6.18824958801269</v>
      </c>
      <c r="C333">
        <f t="shared" si="5"/>
        <v>6.7812070574524232E-5</v>
      </c>
      <c r="D333">
        <v>12763.6962890625</v>
      </c>
      <c r="E333">
        <v>21.684226989746001</v>
      </c>
    </row>
    <row r="334" spans="1:5" x14ac:dyDescent="0.25">
      <c r="A334">
        <v>4.6199994087219203</v>
      </c>
      <c r="B334">
        <v>6.1785659790039</v>
      </c>
      <c r="C334">
        <f t="shared" si="5"/>
        <v>6.9350362296420327E-5</v>
      </c>
      <c r="D334">
        <v>12811.396484375</v>
      </c>
      <c r="E334">
        <v>21.6781616210937</v>
      </c>
    </row>
    <row r="335" spans="1:5" x14ac:dyDescent="0.25">
      <c r="A335">
        <v>4.6339993476867596</v>
      </c>
      <c r="B335">
        <v>6.1675992012023899</v>
      </c>
      <c r="C335">
        <f t="shared" si="5"/>
        <v>7.1133409296323638E-5</v>
      </c>
      <c r="D335">
        <v>12847.3974609375</v>
      </c>
      <c r="E335">
        <v>21.682949066162099</v>
      </c>
    </row>
    <row r="336" spans="1:5" x14ac:dyDescent="0.25">
      <c r="A336">
        <v>4.6479997634887598</v>
      </c>
      <c r="B336">
        <v>6.1540031433105398</v>
      </c>
      <c r="C336">
        <f t="shared" si="5"/>
        <v>7.3405362612299785E-5</v>
      </c>
      <c r="D336">
        <v>12880.6982421875</v>
      </c>
      <c r="E336">
        <v>21.682949066162099</v>
      </c>
    </row>
    <row r="337" spans="1:5" x14ac:dyDescent="0.25">
      <c r="A337">
        <v>4.6619997024536097</v>
      </c>
      <c r="B337">
        <v>6.1403489112854004</v>
      </c>
      <c r="C337">
        <f t="shared" si="5"/>
        <v>7.5760026333759317E-5</v>
      </c>
      <c r="D337">
        <v>12940.896484375</v>
      </c>
      <c r="E337">
        <v>21.684545516967699</v>
      </c>
    </row>
    <row r="338" spans="1:5" x14ac:dyDescent="0.25">
      <c r="A338">
        <v>4.6759996414184499</v>
      </c>
      <c r="B338">
        <v>6.1285724639892498</v>
      </c>
      <c r="C338">
        <f t="shared" si="5"/>
        <v>7.7852874631802448E-5</v>
      </c>
      <c r="D338">
        <v>12987.49609375</v>
      </c>
      <c r="E338">
        <v>21.686780929565401</v>
      </c>
    </row>
    <row r="339" spans="1:5" x14ac:dyDescent="0.25">
      <c r="A339">
        <v>4.6899995803832999</v>
      </c>
      <c r="B339">
        <v>6.1165747642517001</v>
      </c>
      <c r="C339">
        <f t="shared" si="5"/>
        <v>8.0044304204478429E-5</v>
      </c>
      <c r="D339">
        <v>13032.197265625</v>
      </c>
      <c r="E339">
        <v>21.687099456787099</v>
      </c>
    </row>
    <row r="340" spans="1:5" x14ac:dyDescent="0.25">
      <c r="A340">
        <v>4.7039995193481401</v>
      </c>
      <c r="B340">
        <v>6.1030807495117099</v>
      </c>
      <c r="C340">
        <f t="shared" si="5"/>
        <v>8.2581453362271838E-5</v>
      </c>
      <c r="D340">
        <v>13077.49609375</v>
      </c>
      <c r="E340">
        <v>21.686780929565401</v>
      </c>
    </row>
    <row r="341" spans="1:5" x14ac:dyDescent="0.25">
      <c r="A341">
        <v>4.7179994583129803</v>
      </c>
      <c r="B341">
        <v>6.0890488624572701</v>
      </c>
      <c r="C341">
        <f t="shared" si="5"/>
        <v>8.5304604614704597E-5</v>
      </c>
      <c r="D341">
        <v>13112.197265625</v>
      </c>
      <c r="E341">
        <v>21.685823440551701</v>
      </c>
    </row>
    <row r="342" spans="1:5" x14ac:dyDescent="0.25">
      <c r="A342">
        <v>4.7319993972778303</v>
      </c>
      <c r="B342">
        <v>6.0736308097839302</v>
      </c>
      <c r="C342">
        <f t="shared" si="5"/>
        <v>8.8399250895878229E-5</v>
      </c>
      <c r="D342">
        <v>13146.3974609375</v>
      </c>
      <c r="E342">
        <v>21.686780929565401</v>
      </c>
    </row>
    <row r="343" spans="1:5" x14ac:dyDescent="0.25">
      <c r="A343">
        <v>4.7459993362426696</v>
      </c>
      <c r="B343">
        <v>6.0567646026611301</v>
      </c>
      <c r="C343">
        <f t="shared" si="5"/>
        <v>9.1912132365367904E-5</v>
      </c>
      <c r="D343">
        <v>13202.2958984375</v>
      </c>
      <c r="E343">
        <v>21.689653396606399</v>
      </c>
    </row>
    <row r="344" spans="1:5" x14ac:dyDescent="0.25">
      <c r="A344">
        <v>4.7599992752075098</v>
      </c>
      <c r="B344">
        <v>6.04203033447265</v>
      </c>
      <c r="C344">
        <f t="shared" si="5"/>
        <v>9.5096635569802759E-5</v>
      </c>
      <c r="D344">
        <v>13262.49609375</v>
      </c>
      <c r="E344">
        <v>21.6880569458007</v>
      </c>
    </row>
    <row r="345" spans="1:5" x14ac:dyDescent="0.25">
      <c r="A345">
        <v>4.7739996910095197</v>
      </c>
      <c r="B345">
        <v>6.0281352996826101</v>
      </c>
      <c r="C345">
        <f t="shared" si="5"/>
        <v>9.8201523050449961E-5</v>
      </c>
      <c r="D345">
        <v>13314.09765625</v>
      </c>
      <c r="E345">
        <v>21.6880569458007</v>
      </c>
    </row>
    <row r="346" spans="1:5" x14ac:dyDescent="0.25">
      <c r="A346">
        <v>4.7879996299743599</v>
      </c>
      <c r="B346">
        <v>6.0129451751708896</v>
      </c>
      <c r="C346">
        <f t="shared" si="5"/>
        <v>1.0171063711045623E-4</v>
      </c>
      <c r="D346">
        <v>13370.896484375</v>
      </c>
      <c r="E346">
        <v>21.689334869384702</v>
      </c>
    </row>
    <row r="347" spans="1:5" x14ac:dyDescent="0.25">
      <c r="A347">
        <v>4.8019995689392001</v>
      </c>
      <c r="B347">
        <v>5.9965658187866202</v>
      </c>
      <c r="C347">
        <f t="shared" si="5"/>
        <v>1.0563400600864909E-4</v>
      </c>
      <c r="D347">
        <v>13419.302734375</v>
      </c>
      <c r="E347">
        <v>21.689334869384702</v>
      </c>
    </row>
    <row r="348" spans="1:5" x14ac:dyDescent="0.25">
      <c r="A348">
        <v>4.8159995079040501</v>
      </c>
      <c r="B348">
        <v>5.9799933433532697</v>
      </c>
      <c r="C348">
        <f t="shared" si="5"/>
        <v>1.0975750767203078E-4</v>
      </c>
      <c r="D348">
        <v>13479.49609375</v>
      </c>
      <c r="E348">
        <v>21.686780929565401</v>
      </c>
    </row>
    <row r="349" spans="1:5" x14ac:dyDescent="0.25">
      <c r="A349">
        <v>4.8299994468688903</v>
      </c>
      <c r="B349">
        <v>5.9625921249389604</v>
      </c>
      <c r="C349">
        <f t="shared" si="5"/>
        <v>1.1425979974442482E-4</v>
      </c>
      <c r="D349">
        <v>13538.796875</v>
      </c>
      <c r="E349">
        <v>21.689653396606399</v>
      </c>
    </row>
    <row r="350" spans="1:5" x14ac:dyDescent="0.25">
      <c r="A350">
        <v>4.8439993858337402</v>
      </c>
      <c r="B350">
        <v>5.9445176124572701</v>
      </c>
      <c r="C350">
        <f t="shared" si="5"/>
        <v>1.1913132353145333E-4</v>
      </c>
      <c r="D350">
        <v>13583.197265625</v>
      </c>
      <c r="E350">
        <v>21.6880569458007</v>
      </c>
    </row>
    <row r="351" spans="1:5" x14ac:dyDescent="0.25">
      <c r="A351">
        <v>4.8579993247985804</v>
      </c>
      <c r="B351">
        <v>5.9237213134765598</v>
      </c>
      <c r="C351">
        <f t="shared" si="5"/>
        <v>1.2499143487761528E-4</v>
      </c>
      <c r="D351">
        <v>13631.49609375</v>
      </c>
      <c r="E351">
        <v>21.689653396606399</v>
      </c>
    </row>
    <row r="352" spans="1:5" x14ac:dyDescent="0.25">
      <c r="A352">
        <v>4.8719997406005797</v>
      </c>
      <c r="B352">
        <v>5.9033203125</v>
      </c>
      <c r="C352">
        <f t="shared" si="5"/>
        <v>1.3102049530253898E-4</v>
      </c>
      <c r="D352">
        <v>13666.7998046875</v>
      </c>
      <c r="E352">
        <v>21.682949066162099</v>
      </c>
    </row>
    <row r="353" spans="1:5" x14ac:dyDescent="0.25">
      <c r="A353">
        <v>4.8859996795654297</v>
      </c>
      <c r="B353">
        <v>5.8788247108459402</v>
      </c>
      <c r="C353">
        <f t="shared" si="5"/>
        <v>1.3864136034790733E-4</v>
      </c>
      <c r="D353">
        <v>13713.3955078125</v>
      </c>
      <c r="E353">
        <v>21.690931320190401</v>
      </c>
    </row>
    <row r="354" spans="1:5" x14ac:dyDescent="0.25">
      <c r="A354">
        <v>4.8999996185302699</v>
      </c>
      <c r="B354">
        <v>5.85491514205932</v>
      </c>
      <c r="C354">
        <f t="shared" si="5"/>
        <v>1.4650766426329537E-4</v>
      </c>
      <c r="D354">
        <v>13758.6982421875</v>
      </c>
      <c r="E354">
        <v>21.6922073364257</v>
      </c>
    </row>
    <row r="355" spans="1:5" x14ac:dyDescent="0.25">
      <c r="A355">
        <v>4.9139995574951101</v>
      </c>
      <c r="B355">
        <v>5.8301925659179599</v>
      </c>
      <c r="C355">
        <f t="shared" si="5"/>
        <v>1.5511038567810374E-4</v>
      </c>
      <c r="D355">
        <v>13802.498046875</v>
      </c>
      <c r="E355">
        <v>21.6880569458007</v>
      </c>
    </row>
    <row r="356" spans="1:5" x14ac:dyDescent="0.25">
      <c r="A356">
        <v>4.92799949645996</v>
      </c>
      <c r="B356">
        <v>5.8016300201415998</v>
      </c>
      <c r="C356">
        <f t="shared" si="5"/>
        <v>1.6567667604445869E-4</v>
      </c>
      <c r="D356">
        <v>13862.69921875</v>
      </c>
      <c r="E356">
        <v>21.690931320190401</v>
      </c>
    </row>
    <row r="357" spans="1:5" x14ac:dyDescent="0.25">
      <c r="A357">
        <v>4.9419994354248002</v>
      </c>
      <c r="B357">
        <v>5.7746224403381303</v>
      </c>
      <c r="C357">
        <f t="shared" si="5"/>
        <v>1.76330278770838E-4</v>
      </c>
      <c r="D357">
        <v>13914.6025390625</v>
      </c>
      <c r="E357">
        <v>21.690610885620099</v>
      </c>
    </row>
    <row r="358" spans="1:5" x14ac:dyDescent="0.25">
      <c r="A358">
        <v>4.9559993743896396</v>
      </c>
      <c r="B358">
        <v>5.7443542480468697</v>
      </c>
      <c r="C358">
        <f t="shared" si="5"/>
        <v>1.8908323336414752E-4</v>
      </c>
      <c r="D358">
        <v>13973.099609375</v>
      </c>
      <c r="E358">
        <v>21.6922073364257</v>
      </c>
    </row>
    <row r="359" spans="1:5" x14ac:dyDescent="0.25">
      <c r="A359">
        <v>4.9699993133544904</v>
      </c>
      <c r="B359">
        <v>5.7132611274719203</v>
      </c>
      <c r="C359">
        <f t="shared" si="5"/>
        <v>2.0314403144676258E-4</v>
      </c>
      <c r="D359">
        <v>14031.6962890625</v>
      </c>
      <c r="E359">
        <v>21.693485260009702</v>
      </c>
    </row>
    <row r="360" spans="1:5" x14ac:dyDescent="0.25">
      <c r="A360">
        <v>4.9839992523193297</v>
      </c>
      <c r="B360">
        <v>5.6791839599609304</v>
      </c>
      <c r="C360">
        <f t="shared" si="5"/>
        <v>2.1975519611482899E-4</v>
      </c>
      <c r="D360">
        <v>14089.09765625</v>
      </c>
      <c r="E360">
        <v>21.693485260009702</v>
      </c>
    </row>
    <row r="361" spans="1:5" x14ac:dyDescent="0.25">
      <c r="A361">
        <v>4.9979996681213299</v>
      </c>
      <c r="B361">
        <v>5.6421217918395996</v>
      </c>
      <c r="C361">
        <f t="shared" si="5"/>
        <v>2.3936422034361246E-4</v>
      </c>
      <c r="D361">
        <v>14143.2978515625</v>
      </c>
      <c r="E361">
        <v>21.694442749023398</v>
      </c>
    </row>
    <row r="362" spans="1:5" x14ac:dyDescent="0.25">
      <c r="A362">
        <v>5.0119996070861799</v>
      </c>
      <c r="B362">
        <v>5.6014223098754803</v>
      </c>
      <c r="C362">
        <f t="shared" si="5"/>
        <v>2.6291575910448008E-4</v>
      </c>
      <c r="D362">
        <v>14203.4990234375</v>
      </c>
      <c r="E362">
        <v>21.6957187652587</v>
      </c>
    </row>
    <row r="363" spans="1:5" x14ac:dyDescent="0.25">
      <c r="A363">
        <v>5.0259995460510201</v>
      </c>
      <c r="B363">
        <v>5.5555090904235804</v>
      </c>
      <c r="C363">
        <f t="shared" si="5"/>
        <v>2.9227235103584985E-4</v>
      </c>
      <c r="D363">
        <v>14263.6962890625</v>
      </c>
      <c r="E363">
        <v>21.699550628662099</v>
      </c>
    </row>
    <row r="364" spans="1:5" x14ac:dyDescent="0.25">
      <c r="A364">
        <v>5.0399994850158603</v>
      </c>
      <c r="B364">
        <v>5.5046749114990199</v>
      </c>
      <c r="C364">
        <f t="shared" si="5"/>
        <v>3.2860926154306601E-4</v>
      </c>
      <c r="D364">
        <v>14323.896484375</v>
      </c>
      <c r="E364">
        <v>21.6998691558837</v>
      </c>
    </row>
    <row r="365" spans="1:5" x14ac:dyDescent="0.25">
      <c r="A365">
        <v>5.0539994239807102</v>
      </c>
      <c r="B365">
        <v>5.44824171066284</v>
      </c>
      <c r="C365">
        <f t="shared" si="5"/>
        <v>3.7425781698639251E-4</v>
      </c>
      <c r="D365">
        <v>14384.099609375</v>
      </c>
      <c r="E365">
        <v>21.6998691558837</v>
      </c>
    </row>
    <row r="366" spans="1:5" x14ac:dyDescent="0.25">
      <c r="A366">
        <v>5.0679993629455504</v>
      </c>
      <c r="B366">
        <v>5.38496589660644</v>
      </c>
      <c r="C366">
        <f t="shared" si="5"/>
        <v>4.3301662045312626E-4</v>
      </c>
      <c r="D366">
        <v>14444.2958984375</v>
      </c>
      <c r="E366">
        <v>21.702104568481399</v>
      </c>
    </row>
    <row r="367" spans="1:5" x14ac:dyDescent="0.25">
      <c r="A367">
        <v>5.0819993019104004</v>
      </c>
      <c r="B367">
        <v>5.3154759407043404</v>
      </c>
      <c r="C367">
        <f t="shared" si="5"/>
        <v>5.0822074258314968E-4</v>
      </c>
      <c r="D367">
        <v>14504.49609375</v>
      </c>
      <c r="E367">
        <v>21.7024230957031</v>
      </c>
    </row>
    <row r="368" spans="1:5" x14ac:dyDescent="0.25">
      <c r="A368">
        <v>5.0959997177123997</v>
      </c>
      <c r="B368">
        <v>5.2389588356018004</v>
      </c>
      <c r="C368">
        <f t="shared" si="5"/>
        <v>6.0621593790805537E-4</v>
      </c>
      <c r="D368">
        <v>14564.69921875</v>
      </c>
      <c r="E368">
        <v>21.704977035522401</v>
      </c>
    </row>
    <row r="369" spans="1:5" x14ac:dyDescent="0.25">
      <c r="A369">
        <v>5.1099996566772399</v>
      </c>
      <c r="B369">
        <v>5.1511940956115696</v>
      </c>
      <c r="C369">
        <f t="shared" si="5"/>
        <v>7.4207865371367853E-4</v>
      </c>
      <c r="D369">
        <v>14624.896484375</v>
      </c>
      <c r="E369">
        <v>21.703380584716701</v>
      </c>
    </row>
    <row r="370" spans="1:5" x14ac:dyDescent="0.25">
      <c r="A370">
        <v>5.1239995956420898</v>
      </c>
      <c r="B370">
        <v>5.0542807579040501</v>
      </c>
      <c r="C370">
        <f t="shared" si="5"/>
        <v>9.2772896905813306E-4</v>
      </c>
      <c r="D370">
        <v>14685.0966796875</v>
      </c>
      <c r="E370">
        <v>21.707530975341701</v>
      </c>
    </row>
    <row r="371" spans="1:5" x14ac:dyDescent="0.25">
      <c r="A371">
        <v>5.13799953460693</v>
      </c>
      <c r="B371">
        <v>4.9463148117065403</v>
      </c>
      <c r="C371">
        <f t="shared" si="5"/>
        <v>1.1897203705967183E-3</v>
      </c>
      <c r="D371">
        <v>14745.3017578125</v>
      </c>
      <c r="E371">
        <v>21.707530975341701</v>
      </c>
    </row>
    <row r="372" spans="1:5" x14ac:dyDescent="0.25">
      <c r="A372">
        <v>5.1519994735717702</v>
      </c>
      <c r="B372">
        <v>4.8321480751037598</v>
      </c>
      <c r="C372">
        <f t="shared" si="5"/>
        <v>1.5476382690192249E-3</v>
      </c>
      <c r="D372">
        <v>14805.49609375</v>
      </c>
      <c r="E372">
        <v>21.711042404174801</v>
      </c>
    </row>
    <row r="373" spans="1:5" x14ac:dyDescent="0.25">
      <c r="A373">
        <v>5.1659994125366202</v>
      </c>
      <c r="B373">
        <v>4.7142405509948704</v>
      </c>
      <c r="C373">
        <f t="shared" si="5"/>
        <v>2.0306487231077936E-3</v>
      </c>
      <c r="D373">
        <v>14865.6962890625</v>
      </c>
      <c r="E373">
        <v>21.711362838745099</v>
      </c>
    </row>
    <row r="374" spans="1:5" x14ac:dyDescent="0.25">
      <c r="A374">
        <v>5.1799993515014604</v>
      </c>
      <c r="B374">
        <v>4.60282135009765</v>
      </c>
      <c r="C374">
        <f t="shared" si="5"/>
        <v>2.6248942631516129E-3</v>
      </c>
      <c r="D374">
        <v>14925.8994140625</v>
      </c>
      <c r="E374">
        <v>21.711042404174801</v>
      </c>
    </row>
    <row r="375" spans="1:5" x14ac:dyDescent="0.25">
      <c r="A375">
        <v>5.1939992904662997</v>
      </c>
      <c r="B375">
        <v>4.4958906173706001</v>
      </c>
      <c r="C375">
        <f t="shared" si="5"/>
        <v>3.3581519957510187E-3</v>
      </c>
      <c r="D375">
        <v>14986.0966796875</v>
      </c>
      <c r="E375">
        <v>21.711362838745099</v>
      </c>
    </row>
    <row r="376" spans="1:5" x14ac:dyDescent="0.25">
      <c r="A376">
        <v>5.2079992294311497</v>
      </c>
      <c r="B376">
        <v>4.4015197753906197</v>
      </c>
      <c r="C376">
        <f t="shared" si="5"/>
        <v>4.1737745462669326E-3</v>
      </c>
      <c r="D376">
        <v>15046.2958984375</v>
      </c>
      <c r="E376">
        <v>21.7123203277587</v>
      </c>
    </row>
    <row r="377" spans="1:5" x14ac:dyDescent="0.25">
      <c r="A377">
        <v>5.2219996452331499</v>
      </c>
      <c r="B377">
        <v>4.3148546218871999</v>
      </c>
      <c r="C377">
        <f t="shared" si="5"/>
        <v>5.0962641348791804E-3</v>
      </c>
      <c r="D377">
        <v>15106.4990234375</v>
      </c>
      <c r="E377">
        <v>21.7139167785644</v>
      </c>
    </row>
    <row r="378" spans="1:5" x14ac:dyDescent="0.25">
      <c r="A378">
        <v>5.2359995841979901</v>
      </c>
      <c r="B378">
        <v>4.2385954856872496</v>
      </c>
      <c r="C378">
        <f t="shared" si="5"/>
        <v>6.0753156185241637E-3</v>
      </c>
      <c r="D378">
        <v>15166.6962890625</v>
      </c>
      <c r="E378">
        <v>21.7139167785644</v>
      </c>
    </row>
    <row r="379" spans="1:5" x14ac:dyDescent="0.25">
      <c r="A379">
        <v>5.24999952316284</v>
      </c>
      <c r="B379">
        <v>4.1687974929809499</v>
      </c>
      <c r="C379">
        <f t="shared" si="5"/>
        <v>7.1355032709632775E-3</v>
      </c>
      <c r="D379">
        <v>15226.896484375</v>
      </c>
      <c r="E379">
        <v>21.7148742675781</v>
      </c>
    </row>
    <row r="380" spans="1:5" x14ac:dyDescent="0.25">
      <c r="A380">
        <v>5.2639994621276802</v>
      </c>
      <c r="B380">
        <v>4.1069817543029696</v>
      </c>
      <c r="C380">
        <f t="shared" si="5"/>
        <v>8.2280725529213072E-3</v>
      </c>
      <c r="D380">
        <v>15287.099609375</v>
      </c>
      <c r="E380">
        <v>21.715192794799801</v>
      </c>
    </row>
    <row r="381" spans="1:5" x14ac:dyDescent="0.25">
      <c r="A381">
        <v>5.2779994010925204</v>
      </c>
      <c r="B381">
        <v>4.0493993759155202</v>
      </c>
      <c r="C381">
        <f t="shared" si="5"/>
        <v>9.3958970050914414E-3</v>
      </c>
      <c r="D381">
        <v>15347.2958984375</v>
      </c>
      <c r="E381">
        <v>21.715192794799801</v>
      </c>
    </row>
    <row r="382" spans="1:5" x14ac:dyDescent="0.25">
      <c r="A382">
        <v>5.2919993400573704</v>
      </c>
      <c r="B382">
        <v>3.9994125366210902</v>
      </c>
      <c r="C382">
        <f t="shared" si="5"/>
        <v>1.054345225597429E-2</v>
      </c>
      <c r="D382">
        <v>15407.49609375</v>
      </c>
      <c r="E382">
        <v>21.715192794799801</v>
      </c>
    </row>
    <row r="383" spans="1:5" x14ac:dyDescent="0.25">
      <c r="A383">
        <v>5.3059992790222097</v>
      </c>
      <c r="B383">
        <v>3.9525940418243399</v>
      </c>
      <c r="C383">
        <f t="shared" si="5"/>
        <v>1.1745163635258264E-2</v>
      </c>
      <c r="D383">
        <v>15467.701171875</v>
      </c>
      <c r="E383">
        <v>21.718704223632798</v>
      </c>
    </row>
    <row r="384" spans="1:5" x14ac:dyDescent="0.25">
      <c r="A384">
        <v>5.3199996948242099</v>
      </c>
      <c r="B384">
        <v>3.91076612472534</v>
      </c>
      <c r="C384">
        <f t="shared" si="5"/>
        <v>1.2934353448490957E-2</v>
      </c>
      <c r="D384">
        <v>15527.896484375</v>
      </c>
      <c r="E384">
        <v>21.715192794799801</v>
      </c>
    </row>
    <row r="385" spans="1:5" x14ac:dyDescent="0.25">
      <c r="A385">
        <v>5.3339996337890598</v>
      </c>
      <c r="B385">
        <v>3.87155961990356</v>
      </c>
      <c r="C385">
        <f t="shared" si="5"/>
        <v>1.4158229740028238E-2</v>
      </c>
      <c r="D385">
        <v>15588.0966796875</v>
      </c>
      <c r="E385">
        <v>21.716150283813398</v>
      </c>
    </row>
    <row r="386" spans="1:5" x14ac:dyDescent="0.25">
      <c r="A386">
        <v>5.3479995727539</v>
      </c>
      <c r="B386">
        <v>3.83548736572265</v>
      </c>
      <c r="C386">
        <f t="shared" si="5"/>
        <v>1.5386467632910732E-2</v>
      </c>
      <c r="D386">
        <v>15645.9970703125</v>
      </c>
      <c r="E386">
        <v>21.715192794799801</v>
      </c>
    </row>
    <row r="387" spans="1:5" x14ac:dyDescent="0.25">
      <c r="A387">
        <v>5.36199951171875</v>
      </c>
      <c r="B387">
        <v>3.8009045124053902</v>
      </c>
      <c r="C387">
        <f t="shared" si="5"/>
        <v>1.6664008998922689E-2</v>
      </c>
      <c r="D387">
        <v>15706.1982421875</v>
      </c>
      <c r="E387">
        <v>21.718704223632798</v>
      </c>
    </row>
    <row r="388" spans="1:5" x14ac:dyDescent="0.25">
      <c r="A388">
        <v>5.3759994506835902</v>
      </c>
      <c r="B388">
        <v>3.7692778110504102</v>
      </c>
      <c r="C388">
        <f t="shared" si="5"/>
        <v>1.7925195283176324E-2</v>
      </c>
      <c r="D388">
        <v>15766.3974609375</v>
      </c>
      <c r="E388">
        <v>21.7190246582031</v>
      </c>
    </row>
    <row r="389" spans="1:5" x14ac:dyDescent="0.25">
      <c r="A389">
        <v>5.3899993896484304</v>
      </c>
      <c r="B389">
        <v>3.7397429943084699</v>
      </c>
      <c r="C389">
        <f t="shared" ref="C389:C428" si="6">(10^-B389)*(100+A389)</f>
        <v>1.9189179602692622E-2</v>
      </c>
      <c r="D389">
        <v>15822.6962890625</v>
      </c>
      <c r="E389">
        <v>21.721258163452099</v>
      </c>
    </row>
    <row r="390" spans="1:5" x14ac:dyDescent="0.25">
      <c r="A390">
        <v>5.4039993286132804</v>
      </c>
      <c r="B390">
        <v>3.71088194847106</v>
      </c>
      <c r="C390">
        <f t="shared" si="6"/>
        <v>2.0510447741659967E-2</v>
      </c>
      <c r="D390">
        <v>15882.8994140625</v>
      </c>
      <c r="E390">
        <v>21.7190246582031</v>
      </c>
    </row>
    <row r="391" spans="1:5" x14ac:dyDescent="0.25">
      <c r="A391">
        <v>5.4179992675781197</v>
      </c>
      <c r="B391">
        <v>3.6842367649078298</v>
      </c>
      <c r="C391">
        <f t="shared" si="6"/>
        <v>2.1811121878512328E-2</v>
      </c>
      <c r="D391">
        <v>15943.0966796875</v>
      </c>
      <c r="E391">
        <v>21.721578598022401</v>
      </c>
    </row>
    <row r="392" spans="1:5" x14ac:dyDescent="0.25">
      <c r="A392">
        <v>5.4319992065429599</v>
      </c>
      <c r="B392">
        <v>3.6593782901763898</v>
      </c>
      <c r="C392">
        <f t="shared" si="6"/>
        <v>2.3099051734064572E-2</v>
      </c>
      <c r="D392">
        <v>15998.8974609375</v>
      </c>
      <c r="E392">
        <v>21.722536087036101</v>
      </c>
    </row>
    <row r="393" spans="1:5" x14ac:dyDescent="0.25">
      <c r="A393">
        <v>5.4459996223449698</v>
      </c>
      <c r="B393">
        <v>3.63552594184875</v>
      </c>
      <c r="C393">
        <f t="shared" si="6"/>
        <v>2.4406424822653816E-2</v>
      </c>
      <c r="D393">
        <v>16054.6962890625</v>
      </c>
      <c r="E393">
        <v>21.720300674438398</v>
      </c>
    </row>
    <row r="394" spans="1:5" x14ac:dyDescent="0.25">
      <c r="A394">
        <v>5.45999956130981</v>
      </c>
      <c r="B394">
        <v>3.6137616634368799</v>
      </c>
      <c r="C394">
        <f t="shared" si="6"/>
        <v>2.5664103718120515E-2</v>
      </c>
      <c r="D394">
        <v>16100.400390625</v>
      </c>
      <c r="E394">
        <v>21.717746734619102</v>
      </c>
    </row>
    <row r="395" spans="1:5" x14ac:dyDescent="0.25">
      <c r="A395">
        <v>5.4739995002746502</v>
      </c>
      <c r="B395">
        <v>3.59049201011657</v>
      </c>
      <c r="C395">
        <f t="shared" si="6"/>
        <v>2.7080295829962752E-2</v>
      </c>
      <c r="D395">
        <v>16157.2958984375</v>
      </c>
      <c r="E395">
        <v>21.722536087036101</v>
      </c>
    </row>
    <row r="396" spans="1:5" x14ac:dyDescent="0.25">
      <c r="A396">
        <v>5.4879994392395002</v>
      </c>
      <c r="B396">
        <v>3.5701642036437899</v>
      </c>
      <c r="C396">
        <f t="shared" si="6"/>
        <v>2.8381729230589191E-2</v>
      </c>
      <c r="D396">
        <v>16210.3984375</v>
      </c>
      <c r="E396">
        <v>21.721258163452099</v>
      </c>
    </row>
    <row r="397" spans="1:5" x14ac:dyDescent="0.25">
      <c r="A397">
        <v>5.5019993782043404</v>
      </c>
      <c r="B397">
        <v>3.5497908592224099</v>
      </c>
      <c r="C397">
        <f t="shared" si="6"/>
        <v>2.9748825953910069E-2</v>
      </c>
      <c r="D397">
        <v>16265.796875</v>
      </c>
      <c r="E397">
        <v>21.725090026855401</v>
      </c>
    </row>
    <row r="398" spans="1:5" x14ac:dyDescent="0.25">
      <c r="A398">
        <v>5.5159993171691797</v>
      </c>
      <c r="B398">
        <v>3.53005647659301</v>
      </c>
      <c r="C398">
        <f t="shared" si="6"/>
        <v>3.1135929827689864E-2</v>
      </c>
      <c r="D398">
        <v>16322.099609375</v>
      </c>
      <c r="E398">
        <v>21.722536087036101</v>
      </c>
    </row>
    <row r="399" spans="1:5" x14ac:dyDescent="0.25">
      <c r="A399">
        <v>5.5299992561340297</v>
      </c>
      <c r="B399">
        <v>3.5125849246978702</v>
      </c>
      <c r="C399">
        <f t="shared" si="6"/>
        <v>3.2418357735944786E-2</v>
      </c>
      <c r="D399">
        <v>16371.6025390625</v>
      </c>
      <c r="E399">
        <v>21.724132537841701</v>
      </c>
    </row>
    <row r="400" spans="1:5" x14ac:dyDescent="0.25">
      <c r="A400">
        <v>5.5439996719360298</v>
      </c>
      <c r="B400">
        <v>3.4952156543731601</v>
      </c>
      <c r="C400">
        <f t="shared" si="6"/>
        <v>3.3745657450144941E-2</v>
      </c>
      <c r="D400">
        <v>16416.798828125</v>
      </c>
      <c r="E400">
        <v>21.723812103271399</v>
      </c>
    </row>
    <row r="401" spans="1:5" x14ac:dyDescent="0.25">
      <c r="A401">
        <v>5.55799961090087</v>
      </c>
      <c r="B401">
        <v>3.47893190383911</v>
      </c>
      <c r="C401">
        <f t="shared" si="6"/>
        <v>3.5039608703197743E-2</v>
      </c>
      <c r="D401">
        <v>16454.794921875</v>
      </c>
      <c r="E401">
        <v>21.723812103271399</v>
      </c>
    </row>
    <row r="402" spans="1:5" x14ac:dyDescent="0.25">
      <c r="A402">
        <v>5.57199954986572</v>
      </c>
      <c r="B402">
        <v>3.4600467681884699</v>
      </c>
      <c r="C402">
        <f t="shared" si="6"/>
        <v>3.6601760846988747E-2</v>
      </c>
      <c r="D402">
        <v>16511.697265625</v>
      </c>
      <c r="E402">
        <v>21.722536087036101</v>
      </c>
    </row>
    <row r="403" spans="1:5" x14ac:dyDescent="0.25">
      <c r="A403">
        <v>5.5859994888305602</v>
      </c>
      <c r="B403">
        <v>3.4453592300414999</v>
      </c>
      <c r="C403">
        <f t="shared" si="6"/>
        <v>3.7865797263455327E-2</v>
      </c>
      <c r="D403">
        <v>16558.396484375</v>
      </c>
      <c r="E403">
        <v>21.725090026855401</v>
      </c>
    </row>
    <row r="404" spans="1:5" x14ac:dyDescent="0.25">
      <c r="A404">
        <v>5.5999994277954102</v>
      </c>
      <c r="B404">
        <v>3.4305241107940598</v>
      </c>
      <c r="C404">
        <f t="shared" si="6"/>
        <v>3.9186800422040105E-2</v>
      </c>
      <c r="D404">
        <v>16601.498046875</v>
      </c>
      <c r="E404">
        <v>21.723812103271399</v>
      </c>
    </row>
    <row r="405" spans="1:5" x14ac:dyDescent="0.25">
      <c r="A405">
        <v>5.6139993667602504</v>
      </c>
      <c r="B405">
        <v>3.4157695770263601</v>
      </c>
      <c r="C405">
        <f t="shared" si="6"/>
        <v>4.05463637000303E-2</v>
      </c>
      <c r="D405">
        <v>16642.80078125</v>
      </c>
      <c r="E405">
        <v>21.724132537841701</v>
      </c>
    </row>
    <row r="406" spans="1:5" x14ac:dyDescent="0.25">
      <c r="A406">
        <v>5.6279993057250897</v>
      </c>
      <c r="B406">
        <v>3.4010994434356601</v>
      </c>
      <c r="C406">
        <f t="shared" si="6"/>
        <v>4.1944943185813419E-2</v>
      </c>
      <c r="D406">
        <v>16685.099609375</v>
      </c>
      <c r="E406">
        <v>21.7263679504394</v>
      </c>
    </row>
    <row r="407" spans="1:5" x14ac:dyDescent="0.25">
      <c r="A407">
        <v>5.6419992446899396</v>
      </c>
      <c r="B407">
        <v>3.38669610023498</v>
      </c>
      <c r="C407">
        <f t="shared" si="6"/>
        <v>4.3365115882980018E-2</v>
      </c>
      <c r="D407">
        <v>16729.595703125</v>
      </c>
      <c r="E407">
        <v>21.724132537841701</v>
      </c>
    </row>
    <row r="408" spans="1:5" x14ac:dyDescent="0.25">
      <c r="A408">
        <v>5.6559991836547798</v>
      </c>
      <c r="B408">
        <v>3.37377834320068</v>
      </c>
      <c r="C408">
        <f t="shared" si="6"/>
        <v>4.4680273025845006E-2</v>
      </c>
      <c r="D408">
        <v>16767.90234375</v>
      </c>
      <c r="E408">
        <v>21.7263679504394</v>
      </c>
    </row>
    <row r="409" spans="1:5" x14ac:dyDescent="0.25">
      <c r="A409">
        <v>5.66999959945678</v>
      </c>
      <c r="B409">
        <v>3.3623385429382302</v>
      </c>
      <c r="C409">
        <f t="shared" si="6"/>
        <v>4.5878917557418762E-2</v>
      </c>
      <c r="D409">
        <v>16797.30078125</v>
      </c>
      <c r="E409">
        <v>21.7263679504394</v>
      </c>
    </row>
    <row r="410" spans="1:5" x14ac:dyDescent="0.25">
      <c r="A410">
        <v>5.68399953842163</v>
      </c>
      <c r="B410">
        <v>3.3621470928192099</v>
      </c>
      <c r="C410">
        <f t="shared" si="6"/>
        <v>4.5905227884529921E-2</v>
      </c>
      <c r="D410">
        <v>16816.095703125</v>
      </c>
      <c r="E410">
        <v>21.724132537841701</v>
      </c>
    </row>
    <row r="411" spans="1:5" x14ac:dyDescent="0.25">
      <c r="A411">
        <v>5.6979994773864702</v>
      </c>
      <c r="B411">
        <v>3.3620858192443799</v>
      </c>
      <c r="C411">
        <f t="shared" si="6"/>
        <v>4.5917786915463048E-2</v>
      </c>
      <c r="D411">
        <v>16826.896484375</v>
      </c>
      <c r="E411">
        <v>21.727643966674801</v>
      </c>
    </row>
    <row r="412" spans="1:5" x14ac:dyDescent="0.25">
      <c r="A412">
        <v>5.7119994163513104</v>
      </c>
      <c r="B412">
        <v>3.3620641231536799</v>
      </c>
      <c r="C412">
        <f t="shared" si="6"/>
        <v>4.592616311052504E-2</v>
      </c>
      <c r="D412">
        <v>16832.595703125</v>
      </c>
      <c r="E412">
        <v>21.726686477661101</v>
      </c>
    </row>
    <row r="413" spans="1:5" x14ac:dyDescent="0.25">
      <c r="A413">
        <v>5.7259993553161603</v>
      </c>
      <c r="B413">
        <v>3.3128595352172798</v>
      </c>
      <c r="C413">
        <f t="shared" si="6"/>
        <v>5.144252338911779E-2</v>
      </c>
      <c r="D413">
        <v>16888.294921875</v>
      </c>
      <c r="E413">
        <v>21.7263679504394</v>
      </c>
    </row>
    <row r="414" spans="1:5" x14ac:dyDescent="0.25">
      <c r="A414">
        <v>5.7399992942809996</v>
      </c>
      <c r="B414">
        <v>3.3017597198486301</v>
      </c>
      <c r="C414">
        <f t="shared" si="6"/>
        <v>5.2781239313677897E-2</v>
      </c>
      <c r="D414">
        <v>16922.494140625</v>
      </c>
      <c r="E414">
        <v>21.7263679504394</v>
      </c>
    </row>
    <row r="415" spans="1:5" x14ac:dyDescent="0.25">
      <c r="A415">
        <v>5.7539992332458496</v>
      </c>
      <c r="B415">
        <v>3.2896761894225999</v>
      </c>
      <c r="C415">
        <f t="shared" si="6"/>
        <v>5.4277596778699533E-2</v>
      </c>
      <c r="D415">
        <v>16963.095703125</v>
      </c>
      <c r="E415">
        <v>21.727643966674801</v>
      </c>
    </row>
    <row r="416" spans="1:5" x14ac:dyDescent="0.25">
      <c r="A416">
        <v>5.7679996490478498</v>
      </c>
      <c r="B416">
        <v>3.2792158126831001</v>
      </c>
      <c r="C416">
        <f t="shared" si="6"/>
        <v>5.5608153983166819E-2</v>
      </c>
      <c r="D416">
        <v>16995.298828125</v>
      </c>
      <c r="E416">
        <v>21.727643966674801</v>
      </c>
    </row>
    <row r="417" spans="1:5" x14ac:dyDescent="0.25">
      <c r="A417">
        <v>5.78199958801269</v>
      </c>
      <c r="B417">
        <v>3.2682242393493599</v>
      </c>
      <c r="C417">
        <f t="shared" si="6"/>
        <v>5.7041052826582006E-2</v>
      </c>
      <c r="D417">
        <v>17029.595703125</v>
      </c>
      <c r="E417">
        <v>21.7263679504394</v>
      </c>
    </row>
    <row r="418" spans="1:5" x14ac:dyDescent="0.25">
      <c r="A418">
        <v>5.7959995269775302</v>
      </c>
      <c r="B418">
        <v>3.2573871612548801</v>
      </c>
      <c r="C418">
        <f t="shared" si="6"/>
        <v>5.8490062406907767E-2</v>
      </c>
      <c r="D418">
        <v>17066.400390625</v>
      </c>
      <c r="E418">
        <v>21.725090026855401</v>
      </c>
    </row>
    <row r="419" spans="1:5" x14ac:dyDescent="0.25">
      <c r="A419">
        <v>5.8099994659423801</v>
      </c>
      <c r="B419">
        <v>3.2467055320739702</v>
      </c>
      <c r="C419">
        <f t="shared" si="6"/>
        <v>5.995441643232597E-2</v>
      </c>
      <c r="D419">
        <v>17104.798828125</v>
      </c>
      <c r="E419">
        <v>21.7263679504394</v>
      </c>
    </row>
    <row r="420" spans="1:5" x14ac:dyDescent="0.25">
      <c r="A420">
        <v>5.8239994049072203</v>
      </c>
      <c r="B420">
        <v>3.2359910011291499</v>
      </c>
      <c r="C420">
        <f t="shared" si="6"/>
        <v>6.1460086854897081E-2</v>
      </c>
      <c r="D420">
        <v>17146.99609375</v>
      </c>
      <c r="E420">
        <v>21.726686477661101</v>
      </c>
    </row>
    <row r="421" spans="1:5" x14ac:dyDescent="0.25">
      <c r="A421">
        <v>5.8379993438720703</v>
      </c>
      <c r="B421">
        <v>3.22655081748962</v>
      </c>
      <c r="C421">
        <f t="shared" si="6"/>
        <v>6.2818968988630028E-2</v>
      </c>
      <c r="D421">
        <v>17183.701171875</v>
      </c>
      <c r="E421">
        <v>21.726686477661101</v>
      </c>
    </row>
    <row r="422" spans="1:5" x14ac:dyDescent="0.25">
      <c r="A422">
        <v>5.8519992828369096</v>
      </c>
      <c r="B422">
        <v>3.21673083305358</v>
      </c>
      <c r="C422">
        <f t="shared" si="6"/>
        <v>6.4264070757055938E-2</v>
      </c>
      <c r="D422">
        <v>17223.197265625</v>
      </c>
      <c r="E422">
        <v>21.727643966674801</v>
      </c>
    </row>
    <row r="423" spans="1:5" x14ac:dyDescent="0.25">
      <c r="A423">
        <v>5.8659992218017498</v>
      </c>
      <c r="B423">
        <v>3.20712018013</v>
      </c>
      <c r="C423">
        <f t="shared" si="6"/>
        <v>6.571073437707145E-2</v>
      </c>
      <c r="D423">
        <v>17262.001953125</v>
      </c>
      <c r="E423">
        <v>21.7263679504394</v>
      </c>
    </row>
    <row r="424" spans="1:5" x14ac:dyDescent="0.25">
      <c r="A424">
        <v>5.8799991607665998</v>
      </c>
      <c r="B424">
        <v>3.1994049549102699</v>
      </c>
      <c r="C424">
        <f t="shared" si="6"/>
        <v>6.689735921830163E-2</v>
      </c>
      <c r="D424">
        <v>17286.197265625</v>
      </c>
      <c r="E424">
        <v>21.726686477661101</v>
      </c>
    </row>
    <row r="425" spans="1:5" x14ac:dyDescent="0.25">
      <c r="A425">
        <v>5.8939995765686</v>
      </c>
      <c r="B425">
        <v>3.19734382629394</v>
      </c>
      <c r="C425">
        <f t="shared" si="6"/>
        <v>6.7224491445207854E-2</v>
      </c>
      <c r="D425">
        <v>17298.794921875</v>
      </c>
      <c r="E425">
        <v>21.726686477661101</v>
      </c>
    </row>
    <row r="426" spans="1:5" x14ac:dyDescent="0.25">
      <c r="A426">
        <v>5.9079995155334402</v>
      </c>
      <c r="B426">
        <v>3.1972422599792401</v>
      </c>
      <c r="C426">
        <f t="shared" si="6"/>
        <v>6.7249104378949709E-2</v>
      </c>
      <c r="D426">
        <v>17305.595703125</v>
      </c>
      <c r="E426">
        <v>21.727643966674801</v>
      </c>
    </row>
    <row r="427" spans="1:5" x14ac:dyDescent="0.25">
      <c r="A427">
        <v>5.9219994544982901</v>
      </c>
      <c r="B427">
        <v>3.1973800659179599</v>
      </c>
      <c r="C427">
        <f t="shared" si="6"/>
        <v>6.7236655771208978E-2</v>
      </c>
      <c r="D427">
        <v>17309.701171875</v>
      </c>
      <c r="E427">
        <v>21.727962493896399</v>
      </c>
    </row>
    <row r="428" spans="1:5" x14ac:dyDescent="0.25">
      <c r="A428">
        <v>5.9359993934631303</v>
      </c>
      <c r="B428">
        <v>3.1641602516174299</v>
      </c>
      <c r="C428">
        <f t="shared" si="6"/>
        <v>7.2591089796318536E-2</v>
      </c>
      <c r="D428">
        <v>17357.794921875</v>
      </c>
      <c r="E428">
        <v>21.727643966674801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O534"/>
  <sheetViews>
    <sheetView workbookViewId="0">
      <selection activeCell="B4" sqref="B4"/>
    </sheetView>
  </sheetViews>
  <sheetFormatPr defaultRowHeight="15" x14ac:dyDescent="0.25"/>
  <sheetData>
    <row r="1" spans="1:15" x14ac:dyDescent="0.25">
      <c r="A1" t="str">
        <f ca="1">MID(CELL("filename",A1),FIND("]",CELL("filename",A1))+1,3)</f>
        <v>MWR</v>
      </c>
      <c r="C1" t="str">
        <f ca="1">A1</f>
        <v>MWR</v>
      </c>
    </row>
    <row r="2" spans="1:15" x14ac:dyDescent="0.25">
      <c r="A2">
        <v>100</v>
      </c>
    </row>
    <row r="3" spans="1:15" x14ac:dyDescent="0.25">
      <c r="A3" t="s">
        <v>0</v>
      </c>
    </row>
    <row r="4" spans="1:15" x14ac:dyDescent="0.25">
      <c r="A4">
        <v>0</v>
      </c>
      <c r="B4">
        <v>7.5594930648803702</v>
      </c>
      <c r="C4">
        <f>(10^-B4)*(100+A4)</f>
        <v>2.7574454848229894E-6</v>
      </c>
      <c r="E4" t="s">
        <v>4</v>
      </c>
    </row>
    <row r="5" spans="1:15" ht="15.75" thickBot="1" x14ac:dyDescent="0.3">
      <c r="A5">
        <v>1.3999998569488499E-2</v>
      </c>
      <c r="B5">
        <v>7.5546274185180602</v>
      </c>
      <c r="C5">
        <f t="shared" ref="C5:C68" si="0">(10^-B5)*(100+A5)</f>
        <v>2.7889028008319681E-6</v>
      </c>
    </row>
    <row r="6" spans="1:15" x14ac:dyDescent="0.25">
      <c r="A6">
        <v>2.7999997138976999E-2</v>
      </c>
      <c r="B6">
        <v>7.5467300415039</v>
      </c>
      <c r="C6">
        <f t="shared" si="0"/>
        <v>2.8404787454668092E-6</v>
      </c>
      <c r="E6" s="3" t="s">
        <v>5</v>
      </c>
      <c r="F6" s="3"/>
    </row>
    <row r="7" spans="1:15" x14ac:dyDescent="0.25">
      <c r="A7">
        <v>4.19999957084655E-2</v>
      </c>
      <c r="B7">
        <v>7.5415720939636204</v>
      </c>
      <c r="C7">
        <f t="shared" si="0"/>
        <v>2.8748174438261204E-6</v>
      </c>
      <c r="E7" t="s">
        <v>6</v>
      </c>
      <c r="F7">
        <v>0.99840215541263966</v>
      </c>
    </row>
    <row r="8" spans="1:15" x14ac:dyDescent="0.25">
      <c r="A8">
        <v>5.5999994277954102E-2</v>
      </c>
      <c r="B8">
        <v>7.5351905822753897</v>
      </c>
      <c r="C8">
        <f t="shared" si="0"/>
        <v>2.9177800769841366E-6</v>
      </c>
      <c r="E8" t="s">
        <v>7</v>
      </c>
      <c r="F8">
        <v>0.99680686393260465</v>
      </c>
    </row>
    <row r="9" spans="1:15" x14ac:dyDescent="0.25">
      <c r="A9">
        <v>6.9999992847442599E-2</v>
      </c>
      <c r="B9">
        <v>7.5270905494689897</v>
      </c>
      <c r="C9">
        <f t="shared" si="0"/>
        <v>2.9731262426686852E-6</v>
      </c>
      <c r="E9" t="s">
        <v>8</v>
      </c>
      <c r="F9">
        <v>0.99674425342147921</v>
      </c>
      <c r="N9" t="s">
        <v>1</v>
      </c>
      <c r="O9">
        <v>3.9705140590667698</v>
      </c>
    </row>
    <row r="10" spans="1:15" x14ac:dyDescent="0.25">
      <c r="A10">
        <v>8.3999991416931097E-2</v>
      </c>
      <c r="B10">
        <v>7.517822265625</v>
      </c>
      <c r="C10">
        <f t="shared" si="0"/>
        <v>3.0376825652824625E-6</v>
      </c>
      <c r="E10" t="s">
        <v>9</v>
      </c>
      <c r="F10">
        <v>1.0184680160782063E-3</v>
      </c>
    </row>
    <row r="11" spans="1:15" ht="15.75" thickBot="1" x14ac:dyDescent="0.3">
      <c r="A11">
        <v>9.7999989986419594E-2</v>
      </c>
      <c r="B11">
        <v>7.51047611236572</v>
      </c>
      <c r="C11">
        <f t="shared" si="0"/>
        <v>3.0899346021861853E-6</v>
      </c>
      <c r="E11" s="1" t="s">
        <v>10</v>
      </c>
      <c r="F11" s="1">
        <v>53</v>
      </c>
      <c r="N11" t="s">
        <v>2</v>
      </c>
      <c r="O11">
        <v>482</v>
      </c>
    </row>
    <row r="12" spans="1:15" x14ac:dyDescent="0.25">
      <c r="A12">
        <v>0.11199998855590799</v>
      </c>
      <c r="B12">
        <v>7.5053420066833496</v>
      </c>
      <c r="C12">
        <f t="shared" si="0"/>
        <v>3.1271170027062151E-6</v>
      </c>
      <c r="N12" t="s">
        <v>3</v>
      </c>
      <c r="O12">
        <v>534</v>
      </c>
    </row>
    <row r="13" spans="1:15" ht="15.75" thickBot="1" x14ac:dyDescent="0.3">
      <c r="A13">
        <v>0.12599998712539601</v>
      </c>
      <c r="B13">
        <v>7.4999866485595703</v>
      </c>
      <c r="C13">
        <f t="shared" si="0"/>
        <v>3.1663594709604346E-6</v>
      </c>
      <c r="E13" t="s">
        <v>11</v>
      </c>
    </row>
    <row r="14" spans="1:15" x14ac:dyDescent="0.25">
      <c r="A14">
        <v>0.139999985694885</v>
      </c>
      <c r="B14">
        <v>7.4981055259704501</v>
      </c>
      <c r="C14">
        <f t="shared" si="0"/>
        <v>3.1805487822173E-6</v>
      </c>
      <c r="E14" s="2"/>
      <c r="F14" s="2" t="s">
        <v>16</v>
      </c>
      <c r="G14" s="2" t="s">
        <v>17</v>
      </c>
      <c r="H14" s="2" t="s">
        <v>18</v>
      </c>
      <c r="I14" s="2" t="s">
        <v>19</v>
      </c>
      <c r="J14" s="2" t="s">
        <v>20</v>
      </c>
    </row>
    <row r="15" spans="1:15" x14ac:dyDescent="0.25">
      <c r="A15">
        <v>0.153999984264373</v>
      </c>
      <c r="B15">
        <v>7.4977898597717196</v>
      </c>
      <c r="C15">
        <f t="shared" si="0"/>
        <v>3.1833063765811636E-6</v>
      </c>
      <c r="E15" t="s">
        <v>12</v>
      </c>
      <c r="F15">
        <v>1</v>
      </c>
      <c r="G15">
        <v>1.6514238811822114E-2</v>
      </c>
      <c r="H15">
        <v>1.6514238811822114E-2</v>
      </c>
      <c r="I15">
        <v>15920.759086859034</v>
      </c>
      <c r="J15">
        <v>2.5365230017657451E-65</v>
      </c>
    </row>
    <row r="16" spans="1:15" x14ac:dyDescent="0.25">
      <c r="A16">
        <v>0.167999982833862</v>
      </c>
      <c r="B16">
        <v>7.4944829940795898</v>
      </c>
      <c r="C16">
        <f t="shared" si="0"/>
        <v>3.2080860470610492E-6</v>
      </c>
      <c r="E16" t="s">
        <v>13</v>
      </c>
      <c r="F16">
        <v>51</v>
      </c>
      <c r="G16">
        <v>5.2901132088488151E-5</v>
      </c>
      <c r="H16">
        <v>1.0372770997742775E-6</v>
      </c>
    </row>
    <row r="17" spans="1:11" ht="15.75" thickBot="1" x14ac:dyDescent="0.3">
      <c r="A17">
        <v>0.18199998140335</v>
      </c>
      <c r="B17">
        <v>7.4888362884521396</v>
      </c>
      <c r="C17">
        <f t="shared" si="0"/>
        <v>3.250524239876242E-6</v>
      </c>
      <c r="E17" s="1" t="s">
        <v>14</v>
      </c>
      <c r="F17" s="1">
        <v>52</v>
      </c>
      <c r="G17" s="1">
        <v>1.6567139943910601E-2</v>
      </c>
      <c r="H17" s="1"/>
      <c r="I17" s="1"/>
      <c r="J17" s="1"/>
    </row>
    <row r="18" spans="1:11" ht="15.75" thickBot="1" x14ac:dyDescent="0.3">
      <c r="A18">
        <v>0.19599997997283899</v>
      </c>
      <c r="B18">
        <v>7.4818453788757298</v>
      </c>
      <c r="C18">
        <f t="shared" si="0"/>
        <v>3.3037334847160771E-6</v>
      </c>
    </row>
    <row r="19" spans="1:11" x14ac:dyDescent="0.25">
      <c r="A19">
        <v>0.20999997854232699</v>
      </c>
      <c r="B19">
        <v>7.4740056991577104</v>
      </c>
      <c r="C19">
        <f t="shared" si="0"/>
        <v>3.3643824812149632E-6</v>
      </c>
      <c r="E19" s="2"/>
      <c r="F19" s="2" t="s">
        <v>21</v>
      </c>
      <c r="G19" s="2" t="s">
        <v>9</v>
      </c>
      <c r="H19" s="2" t="s">
        <v>22</v>
      </c>
      <c r="I19" s="2" t="s">
        <v>23</v>
      </c>
      <c r="J19" s="2" t="s">
        <v>24</v>
      </c>
      <c r="K19" s="2" t="s">
        <v>25</v>
      </c>
    </row>
    <row r="20" spans="1:11" x14ac:dyDescent="0.25">
      <c r="A20">
        <v>0.22399997711181599</v>
      </c>
      <c r="B20">
        <v>7.4659466743469203</v>
      </c>
      <c r="C20">
        <f t="shared" si="0"/>
        <v>3.4278756360921076E-6</v>
      </c>
      <c r="E20" t="s">
        <v>15</v>
      </c>
      <c r="F20">
        <v>-0.54275623444585752</v>
      </c>
      <c r="G20">
        <v>4.6113915884465253E-3</v>
      </c>
      <c r="H20">
        <v>-117.69901211722944</v>
      </c>
      <c r="I20">
        <v>8.7041002477023612E-64</v>
      </c>
      <c r="J20">
        <v>-0.55201398935739376</v>
      </c>
      <c r="K20">
        <v>-0.53349847953432128</v>
      </c>
    </row>
    <row r="21" spans="1:11" ht="15.75" thickBot="1" x14ac:dyDescent="0.3">
      <c r="A21">
        <v>0.23799997568130399</v>
      </c>
      <c r="B21">
        <v>7.4583959579467702</v>
      </c>
      <c r="C21">
        <f t="shared" si="0"/>
        <v>3.4884815848957579E-6</v>
      </c>
      <c r="E21" s="1" t="s">
        <v>26</v>
      </c>
      <c r="F21" s="1">
        <v>8.2424328228492452E-2</v>
      </c>
      <c r="G21" s="1">
        <v>6.5324114435045969E-4</v>
      </c>
      <c r="H21" s="1">
        <v>126.17749041274769</v>
      </c>
      <c r="I21" s="1">
        <v>2.5365230017657451E-65</v>
      </c>
      <c r="J21" s="1">
        <v>8.111289190899193E-2</v>
      </c>
      <c r="K21" s="1">
        <v>8.3735764547992975E-2</v>
      </c>
    </row>
    <row r="22" spans="1:11" x14ac:dyDescent="0.25">
      <c r="A22">
        <v>0.25199997425079301</v>
      </c>
      <c r="B22">
        <v>7.4562802314758301</v>
      </c>
      <c r="C22">
        <f t="shared" si="0"/>
        <v>3.5060072824544852E-6</v>
      </c>
    </row>
    <row r="23" spans="1:11" x14ac:dyDescent="0.25">
      <c r="A23">
        <v>0.26599997282028198</v>
      </c>
      <c r="B23">
        <v>7.4531664848327601</v>
      </c>
      <c r="C23">
        <f t="shared" si="0"/>
        <v>3.5317276432248606E-6</v>
      </c>
      <c r="E23" s="4" t="s">
        <v>27</v>
      </c>
      <c r="F23">
        <f>+(-F20/F21)</f>
        <v>6.5849033423876602</v>
      </c>
    </row>
    <row r="24" spans="1:11" x14ac:dyDescent="0.25">
      <c r="A24">
        <v>0.27999997138977001</v>
      </c>
      <c r="B24">
        <v>7.4525942802429199</v>
      </c>
      <c r="C24">
        <f t="shared" si="0"/>
        <v>3.53687771714999E-6</v>
      </c>
      <c r="E24" s="4" t="s">
        <v>28</v>
      </c>
      <c r="F24" s="5">
        <f>+(F23*0.1*1000000)/100</f>
        <v>6584.9033423876599</v>
      </c>
    </row>
    <row r="25" spans="1:11" x14ac:dyDescent="0.25">
      <c r="A25">
        <v>0.29399996995925898</v>
      </c>
      <c r="B25">
        <v>7.4529166221618599</v>
      </c>
      <c r="C25">
        <f t="shared" si="0"/>
        <v>3.534746964703288E-6</v>
      </c>
    </row>
    <row r="26" spans="1:11" x14ac:dyDescent="0.25">
      <c r="A26">
        <v>0.307999968528747</v>
      </c>
      <c r="B26">
        <v>7.45403957366943</v>
      </c>
      <c r="C26">
        <f t="shared" si="0"/>
        <v>3.5261111457178165E-6</v>
      </c>
    </row>
    <row r="27" spans="1:11" x14ac:dyDescent="0.25">
      <c r="A27">
        <v>0.32199996709823597</v>
      </c>
      <c r="B27">
        <v>7.45314264297485</v>
      </c>
      <c r="C27">
        <f t="shared" si="0"/>
        <v>3.5338941616658899E-6</v>
      </c>
    </row>
    <row r="28" spans="1:11" x14ac:dyDescent="0.25">
      <c r="A28">
        <v>0.335999965667724</v>
      </c>
      <c r="B28">
        <v>7.4531121253967196</v>
      </c>
      <c r="C28">
        <f t="shared" si="0"/>
        <v>3.5346356865534709E-6</v>
      </c>
    </row>
    <row r="29" spans="1:11" x14ac:dyDescent="0.25">
      <c r="A29">
        <v>0.34999996423721302</v>
      </c>
      <c r="B29">
        <v>7.4538941383361799</v>
      </c>
      <c r="C29">
        <f t="shared" si="0"/>
        <v>3.5287690714494273E-6</v>
      </c>
    </row>
    <row r="30" spans="1:11" x14ac:dyDescent="0.25">
      <c r="A30">
        <v>0.36399996280670099</v>
      </c>
      <c r="B30">
        <v>7.4505119323730398</v>
      </c>
      <c r="C30">
        <f t="shared" si="0"/>
        <v>3.556853921247679E-6</v>
      </c>
    </row>
    <row r="31" spans="1:11" x14ac:dyDescent="0.25">
      <c r="A31">
        <v>0.37799996137619002</v>
      </c>
      <c r="B31">
        <v>7.4441804885864196</v>
      </c>
      <c r="C31">
        <f t="shared" si="0"/>
        <v>3.6095914519803142E-6</v>
      </c>
    </row>
    <row r="32" spans="1:11" x14ac:dyDescent="0.25">
      <c r="A32">
        <v>0.39199995994567799</v>
      </c>
      <c r="B32">
        <v>7.43576955795288</v>
      </c>
      <c r="C32">
        <f t="shared" si="0"/>
        <v>3.6806926010972965E-6</v>
      </c>
    </row>
    <row r="33" spans="1:3" x14ac:dyDescent="0.25">
      <c r="A33">
        <v>0.40599995851516701</v>
      </c>
      <c r="B33">
        <v>7.4280319213867099</v>
      </c>
      <c r="C33">
        <f t="shared" si="0"/>
        <v>3.7473800838512924E-6</v>
      </c>
    </row>
    <row r="34" spans="1:3" x14ac:dyDescent="0.25">
      <c r="A34">
        <v>0.41999995708465498</v>
      </c>
      <c r="B34">
        <v>7.4192366600036603</v>
      </c>
      <c r="C34">
        <f t="shared" si="0"/>
        <v>3.824578302254292E-6</v>
      </c>
    </row>
    <row r="35" spans="1:3" x14ac:dyDescent="0.25">
      <c r="A35">
        <v>0.43399995565414401</v>
      </c>
      <c r="B35">
        <v>7.4129447937011701</v>
      </c>
      <c r="C35">
        <f t="shared" si="0"/>
        <v>3.8809313974126675E-6</v>
      </c>
    </row>
    <row r="36" spans="1:3" x14ac:dyDescent="0.25">
      <c r="A36">
        <v>0.44799995422363198</v>
      </c>
      <c r="B36">
        <v>7.4070992469787598</v>
      </c>
      <c r="C36">
        <f t="shared" si="0"/>
        <v>3.9340696708934627E-6</v>
      </c>
    </row>
    <row r="37" spans="1:3" x14ac:dyDescent="0.25">
      <c r="A37">
        <v>0.461999952793121</v>
      </c>
      <c r="B37">
        <v>7.4061965942382804</v>
      </c>
      <c r="C37">
        <f t="shared" si="0"/>
        <v>3.9428043353234411E-6</v>
      </c>
    </row>
    <row r="38" spans="1:3" x14ac:dyDescent="0.25">
      <c r="A38">
        <v>0.47599995136260898</v>
      </c>
      <c r="B38">
        <v>7.4076070785522399</v>
      </c>
      <c r="C38">
        <f t="shared" si="0"/>
        <v>3.9305674967262917E-6</v>
      </c>
    </row>
    <row r="39" spans="1:3" x14ac:dyDescent="0.25">
      <c r="A39">
        <v>0.489999949932098</v>
      </c>
      <c r="B39">
        <v>7.4090037345886204</v>
      </c>
      <c r="C39">
        <f t="shared" si="0"/>
        <v>3.9184933260758505E-6</v>
      </c>
    </row>
    <row r="40" spans="1:3" x14ac:dyDescent="0.25">
      <c r="A40">
        <v>0.50399994850158603</v>
      </c>
      <c r="B40">
        <v>7.4051194190979004</v>
      </c>
      <c r="C40">
        <f t="shared" si="0"/>
        <v>3.9542482167798554E-6</v>
      </c>
    </row>
    <row r="41" spans="1:3" x14ac:dyDescent="0.25">
      <c r="A41">
        <v>0.517999947071075</v>
      </c>
      <c r="B41">
        <v>7.3996496200561497</v>
      </c>
      <c r="C41">
        <f t="shared" si="0"/>
        <v>4.0049234424993857E-6</v>
      </c>
    </row>
    <row r="42" spans="1:3" x14ac:dyDescent="0.25">
      <c r="A42">
        <v>0.53199994564056396</v>
      </c>
      <c r="B42">
        <v>7.3940048217773402</v>
      </c>
      <c r="C42">
        <f t="shared" si="0"/>
        <v>4.0578828092801895E-6</v>
      </c>
    </row>
    <row r="43" spans="1:3" x14ac:dyDescent="0.25">
      <c r="A43">
        <v>0.54599994421005205</v>
      </c>
      <c r="B43">
        <v>7.39204978942871</v>
      </c>
      <c r="C43">
        <f t="shared" si="0"/>
        <v>4.0767587139230805E-6</v>
      </c>
    </row>
    <row r="44" spans="1:3" x14ac:dyDescent="0.25">
      <c r="A44">
        <v>0.55999994277954102</v>
      </c>
      <c r="B44">
        <v>7.3928370475768999</v>
      </c>
      <c r="C44">
        <f t="shared" si="0"/>
        <v>4.0699419684736265E-6</v>
      </c>
    </row>
    <row r="45" spans="1:3" x14ac:dyDescent="0.25">
      <c r="A45">
        <v>0.57399994134902899</v>
      </c>
      <c r="B45">
        <v>7.3946175575256303</v>
      </c>
      <c r="C45">
        <f t="shared" si="0"/>
        <v>4.0538545773518009E-6</v>
      </c>
    </row>
    <row r="46" spans="1:3" x14ac:dyDescent="0.25">
      <c r="A46">
        <v>0.58799993991851796</v>
      </c>
      <c r="B46">
        <v>7.3909811973571697</v>
      </c>
      <c r="C46">
        <f t="shared" si="0"/>
        <v>4.0885091638500401E-6</v>
      </c>
    </row>
    <row r="47" spans="1:3" x14ac:dyDescent="0.25">
      <c r="A47">
        <v>0.60199993848800604</v>
      </c>
      <c r="B47">
        <v>7.3856744766235298</v>
      </c>
      <c r="C47">
        <f t="shared" si="0"/>
        <v>4.1393498893835902E-6</v>
      </c>
    </row>
    <row r="48" spans="1:3" x14ac:dyDescent="0.25">
      <c r="A48">
        <v>0.61599993705749501</v>
      </c>
      <c r="B48">
        <v>7.3913516998290998</v>
      </c>
      <c r="C48">
        <f t="shared" si="0"/>
        <v>4.0861598089771997E-6</v>
      </c>
    </row>
    <row r="49" spans="1:3" x14ac:dyDescent="0.25">
      <c r="A49">
        <v>0.62999993562698298</v>
      </c>
      <c r="B49">
        <v>7.4055495262145996</v>
      </c>
      <c r="C49">
        <f t="shared" si="0"/>
        <v>3.9552864930132121E-6</v>
      </c>
    </row>
    <row r="50" spans="1:3" x14ac:dyDescent="0.25">
      <c r="A50">
        <v>0.64399993419647195</v>
      </c>
      <c r="B50">
        <v>7.4194216728210396</v>
      </c>
      <c r="C50">
        <f t="shared" si="0"/>
        <v>3.8314769390285001E-6</v>
      </c>
    </row>
    <row r="51" spans="1:3" x14ac:dyDescent="0.25">
      <c r="A51">
        <v>0.65799993276596003</v>
      </c>
      <c r="B51">
        <v>7.3939881324768004</v>
      </c>
      <c r="C51">
        <f t="shared" si="0"/>
        <v>4.0631248211782312E-6</v>
      </c>
    </row>
    <row r="52" spans="1:3" x14ac:dyDescent="0.25">
      <c r="A52">
        <v>0.671999931335449</v>
      </c>
      <c r="B52">
        <v>7.3881473541259703</v>
      </c>
      <c r="C52">
        <f t="shared" si="0"/>
        <v>4.118711213895274E-6</v>
      </c>
    </row>
    <row r="53" spans="1:3" x14ac:dyDescent="0.25">
      <c r="A53">
        <v>0.68599992990493697</v>
      </c>
      <c r="B53">
        <v>7.3834090232849103</v>
      </c>
      <c r="C53">
        <f t="shared" si="0"/>
        <v>4.1644731291849801E-6</v>
      </c>
    </row>
    <row r="54" spans="1:3" x14ac:dyDescent="0.25">
      <c r="A54">
        <v>0.69999992847442605</v>
      </c>
      <c r="B54">
        <v>7.3769888877868599</v>
      </c>
      <c r="C54">
        <f t="shared" si="0"/>
        <v>4.2270811219516663E-6</v>
      </c>
    </row>
    <row r="55" spans="1:3" x14ac:dyDescent="0.25">
      <c r="A55">
        <v>0.71399992704391402</v>
      </c>
      <c r="B55">
        <v>7.36986827850341</v>
      </c>
      <c r="C55">
        <f t="shared" si="0"/>
        <v>4.2975562135021377E-6</v>
      </c>
    </row>
    <row r="56" spans="1:3" x14ac:dyDescent="0.25">
      <c r="A56">
        <v>0.72799992561340299</v>
      </c>
      <c r="B56">
        <v>7.3621792793273899</v>
      </c>
      <c r="C56">
        <f t="shared" si="0"/>
        <v>4.3749282137808017E-6</v>
      </c>
    </row>
    <row r="57" spans="1:3" x14ac:dyDescent="0.25">
      <c r="A57">
        <v>0.74199992418289096</v>
      </c>
      <c r="B57">
        <v>7.3548083305358798</v>
      </c>
      <c r="C57">
        <f t="shared" si="0"/>
        <v>4.4504326968528307E-6</v>
      </c>
    </row>
    <row r="58" spans="1:3" x14ac:dyDescent="0.25">
      <c r="A58">
        <v>0.75599992275238004</v>
      </c>
      <c r="B58">
        <v>7.3494386672973597</v>
      </c>
      <c r="C58">
        <f t="shared" si="0"/>
        <v>4.5064260642355779E-6</v>
      </c>
    </row>
    <row r="59" spans="1:3" x14ac:dyDescent="0.25">
      <c r="A59">
        <v>0.76999992132186801</v>
      </c>
      <c r="B59">
        <v>7.3462986946105904</v>
      </c>
      <c r="C59">
        <f t="shared" si="0"/>
        <v>4.5397565468965986E-6</v>
      </c>
    </row>
    <row r="60" spans="1:3" x14ac:dyDescent="0.25">
      <c r="A60">
        <v>0.78399991989135698</v>
      </c>
      <c r="B60">
        <v>7.3435106277465803</v>
      </c>
      <c r="C60">
        <f t="shared" si="0"/>
        <v>4.569629221009742E-6</v>
      </c>
    </row>
    <row r="61" spans="1:3" x14ac:dyDescent="0.25">
      <c r="A61">
        <v>0.79799991846084595</v>
      </c>
      <c r="B61">
        <v>7.3451328277587802</v>
      </c>
      <c r="C61">
        <f t="shared" si="0"/>
        <v>4.5532247403275775E-6</v>
      </c>
    </row>
    <row r="62" spans="1:3" x14ac:dyDescent="0.25">
      <c r="A62">
        <v>0.81199991703033403</v>
      </c>
      <c r="B62">
        <v>7.3472127914428702</v>
      </c>
      <c r="C62">
        <f t="shared" si="0"/>
        <v>4.5320995306774671E-6</v>
      </c>
    </row>
    <row r="63" spans="1:3" x14ac:dyDescent="0.25">
      <c r="A63">
        <v>0.825999915599823</v>
      </c>
      <c r="B63">
        <v>7.3490347862243599</v>
      </c>
      <c r="C63">
        <f t="shared" si="0"/>
        <v>4.5137525987835699E-6</v>
      </c>
    </row>
    <row r="64" spans="1:3" x14ac:dyDescent="0.25">
      <c r="A64">
        <v>0.83999991416931097</v>
      </c>
      <c r="B64">
        <v>7.3507294654846103</v>
      </c>
      <c r="C64">
        <f t="shared" si="0"/>
        <v>4.4967979173981917E-6</v>
      </c>
    </row>
    <row r="65" spans="1:3" x14ac:dyDescent="0.25">
      <c r="A65">
        <v>0.85399991273880005</v>
      </c>
      <c r="B65">
        <v>7.3482551574706996</v>
      </c>
      <c r="C65">
        <f t="shared" si="0"/>
        <v>4.523118540219788E-6</v>
      </c>
    </row>
    <row r="66" spans="1:3" x14ac:dyDescent="0.25">
      <c r="A66">
        <v>0.86799991130828802</v>
      </c>
      <c r="B66">
        <v>7.34464406967163</v>
      </c>
      <c r="C66">
        <f t="shared" si="0"/>
        <v>4.5615174408282915E-6</v>
      </c>
    </row>
    <row r="67" spans="1:3" x14ac:dyDescent="0.25">
      <c r="A67">
        <v>0.88199990987777699</v>
      </c>
      <c r="B67">
        <v>7.34032773971557</v>
      </c>
      <c r="C67">
        <f t="shared" si="0"/>
        <v>4.6077185497116561E-6</v>
      </c>
    </row>
    <row r="68" spans="1:3" x14ac:dyDescent="0.25">
      <c r="A68">
        <v>0.89599990844726496</v>
      </c>
      <c r="B68">
        <v>7.3371276855468697</v>
      </c>
      <c r="C68">
        <f t="shared" si="0"/>
        <v>4.6424396109416153E-6</v>
      </c>
    </row>
    <row r="69" spans="1:3" x14ac:dyDescent="0.25">
      <c r="A69">
        <v>0.90999990701675404</v>
      </c>
      <c r="B69">
        <v>7.3383474349975497</v>
      </c>
      <c r="C69">
        <f t="shared" ref="C69:C132" si="1">(10^-B69)*(100+A69)</f>
        <v>4.6300616182310429E-6</v>
      </c>
    </row>
    <row r="70" spans="1:3" x14ac:dyDescent="0.25">
      <c r="A70">
        <v>0.92399990558624201</v>
      </c>
      <c r="B70">
        <v>7.3356289863586399</v>
      </c>
      <c r="C70">
        <f t="shared" si="1"/>
        <v>4.659780591437032E-6</v>
      </c>
    </row>
    <row r="71" spans="1:3" x14ac:dyDescent="0.25">
      <c r="A71">
        <v>0.93799990415573098</v>
      </c>
      <c r="B71">
        <v>7.3321008682250897</v>
      </c>
      <c r="C71">
        <f t="shared" si="1"/>
        <v>4.6984415305150412E-6</v>
      </c>
    </row>
    <row r="72" spans="1:3" x14ac:dyDescent="0.25">
      <c r="A72">
        <v>0.95199990272521895</v>
      </c>
      <c r="B72">
        <v>7.3267159461975098</v>
      </c>
      <c r="C72">
        <f t="shared" si="1"/>
        <v>4.7577211092225135E-6</v>
      </c>
    </row>
    <row r="73" spans="1:3" x14ac:dyDescent="0.25">
      <c r="A73">
        <v>0.96599990129470803</v>
      </c>
      <c r="B73">
        <v>7.3200163841247496</v>
      </c>
      <c r="C73">
        <f t="shared" si="1"/>
        <v>4.8323542773504715E-6</v>
      </c>
    </row>
    <row r="74" spans="1:3" x14ac:dyDescent="0.25">
      <c r="A74">
        <v>0.979999899864196</v>
      </c>
      <c r="B74">
        <v>7.3132410049438397</v>
      </c>
      <c r="C74">
        <f t="shared" si="1"/>
        <v>4.9090150209297523E-6</v>
      </c>
    </row>
    <row r="75" spans="1:3" x14ac:dyDescent="0.25">
      <c r="A75">
        <v>0.99399989843368497</v>
      </c>
      <c r="B75">
        <v>7.3072347640991202</v>
      </c>
      <c r="C75">
        <f t="shared" si="1"/>
        <v>4.9780678173826212E-6</v>
      </c>
    </row>
    <row r="76" spans="1:3" x14ac:dyDescent="0.25">
      <c r="A76">
        <v>1.0079998970031701</v>
      </c>
      <c r="B76">
        <v>7.3071775436401296</v>
      </c>
      <c r="C76">
        <f t="shared" si="1"/>
        <v>4.9794139068508518E-6</v>
      </c>
    </row>
    <row r="77" spans="1:3" x14ac:dyDescent="0.25">
      <c r="A77">
        <v>1.02199983596801</v>
      </c>
      <c r="B77">
        <v>7.3089365959167401</v>
      </c>
      <c r="C77">
        <f t="shared" si="1"/>
        <v>4.9599736084602598E-6</v>
      </c>
    </row>
    <row r="78" spans="1:3" x14ac:dyDescent="0.25">
      <c r="A78">
        <v>1.03599989414215</v>
      </c>
      <c r="B78">
        <v>7.3072824478149396</v>
      </c>
      <c r="C78">
        <f t="shared" si="1"/>
        <v>4.9795912594754662E-6</v>
      </c>
    </row>
    <row r="79" spans="1:3" x14ac:dyDescent="0.25">
      <c r="A79">
        <v>1.04999995231628</v>
      </c>
      <c r="B79">
        <v>7.3082256317138601</v>
      </c>
      <c r="C79">
        <f t="shared" si="1"/>
        <v>4.9694770116171314E-6</v>
      </c>
    </row>
    <row r="80" spans="1:3" x14ac:dyDescent="0.25">
      <c r="A80">
        <v>1.0639998912811199</v>
      </c>
      <c r="B80">
        <v>7.3088097572326598</v>
      </c>
      <c r="C80">
        <f t="shared" si="1"/>
        <v>4.9634851335221511E-6</v>
      </c>
    </row>
    <row r="81" spans="1:3" x14ac:dyDescent="0.25">
      <c r="A81">
        <v>1.0779998302459699</v>
      </c>
      <c r="B81">
        <v>7.3054018020629803</v>
      </c>
      <c r="C81">
        <f t="shared" si="1"/>
        <v>5.0032803361153183E-6</v>
      </c>
    </row>
    <row r="82" spans="1:3" x14ac:dyDescent="0.25">
      <c r="A82">
        <v>1.0919998884201001</v>
      </c>
      <c r="B82">
        <v>7.3015894889831499</v>
      </c>
      <c r="C82">
        <f t="shared" si="1"/>
        <v>5.0480924420831087E-6</v>
      </c>
    </row>
    <row r="83" spans="1:3" x14ac:dyDescent="0.25">
      <c r="A83">
        <v>1.1059999465942301</v>
      </c>
      <c r="B83">
        <v>7.3020749092101997</v>
      </c>
      <c r="C83">
        <f t="shared" si="1"/>
        <v>5.0431515540829411E-6</v>
      </c>
    </row>
    <row r="84" spans="1:3" x14ac:dyDescent="0.25">
      <c r="A84">
        <v>1.11999988555908</v>
      </c>
      <c r="B84">
        <v>7.3042683601379297</v>
      </c>
      <c r="C84">
        <f t="shared" si="1"/>
        <v>5.0184395860432168E-6</v>
      </c>
    </row>
    <row r="85" spans="1:3" x14ac:dyDescent="0.25">
      <c r="A85">
        <v>1.13399982452392</v>
      </c>
      <c r="B85">
        <v>7.3060784339904696</v>
      </c>
      <c r="C85">
        <f t="shared" si="1"/>
        <v>4.9982589213346708E-6</v>
      </c>
    </row>
    <row r="86" spans="1:3" x14ac:dyDescent="0.25">
      <c r="A86">
        <v>1.14799988269805</v>
      </c>
      <c r="B86">
        <v>7.3038401603698704</v>
      </c>
      <c r="C86">
        <f t="shared" si="1"/>
        <v>5.0247810091609259E-6</v>
      </c>
    </row>
    <row r="87" spans="1:3" x14ac:dyDescent="0.25">
      <c r="A87">
        <v>1.1619999408721899</v>
      </c>
      <c r="B87">
        <v>7.2992033958434996</v>
      </c>
      <c r="C87">
        <f t="shared" si="1"/>
        <v>5.0794186681859589E-6</v>
      </c>
    </row>
    <row r="88" spans="1:3" x14ac:dyDescent="0.25">
      <c r="A88">
        <v>1.1759998798370299</v>
      </c>
      <c r="B88">
        <v>7.2940578460693297</v>
      </c>
      <c r="C88">
        <f t="shared" si="1"/>
        <v>5.1406692103520757E-6</v>
      </c>
    </row>
    <row r="89" spans="1:3" x14ac:dyDescent="0.25">
      <c r="A89">
        <v>1.1899998188018699</v>
      </c>
      <c r="B89">
        <v>7.2936277389526296</v>
      </c>
      <c r="C89">
        <f t="shared" si="1"/>
        <v>5.1464748664626687E-6</v>
      </c>
    </row>
    <row r="90" spans="1:3" x14ac:dyDescent="0.25">
      <c r="A90">
        <v>1.2039998769760101</v>
      </c>
      <c r="B90">
        <v>7.2909045219421298</v>
      </c>
      <c r="C90">
        <f t="shared" si="1"/>
        <v>5.1795634250738538E-6</v>
      </c>
    </row>
    <row r="91" spans="1:3" x14ac:dyDescent="0.25">
      <c r="A91">
        <v>1.21799993515014</v>
      </c>
      <c r="B91">
        <v>7.2871036529540998</v>
      </c>
      <c r="C91">
        <f t="shared" si="1"/>
        <v>5.225815810160486E-6</v>
      </c>
    </row>
    <row r="92" spans="1:3" x14ac:dyDescent="0.25">
      <c r="A92">
        <v>1.23199987411499</v>
      </c>
      <c r="B92">
        <v>7.2838959693908603</v>
      </c>
      <c r="C92">
        <f t="shared" si="1"/>
        <v>5.2652845572497045E-6</v>
      </c>
    </row>
    <row r="93" spans="1:3" x14ac:dyDescent="0.25">
      <c r="A93">
        <v>1.24599981307983</v>
      </c>
      <c r="B93">
        <v>7.28102684020996</v>
      </c>
      <c r="C93">
        <f t="shared" si="1"/>
        <v>5.3009173537542575E-6</v>
      </c>
    </row>
    <row r="94" spans="1:3" x14ac:dyDescent="0.25">
      <c r="A94">
        <v>1.25999987125396</v>
      </c>
      <c r="B94">
        <v>7.2791976928710902</v>
      </c>
      <c r="C94">
        <f t="shared" si="1"/>
        <v>5.3240267592371848E-6</v>
      </c>
    </row>
    <row r="95" spans="1:3" x14ac:dyDescent="0.25">
      <c r="A95">
        <v>1.2739999294280999</v>
      </c>
      <c r="B95">
        <v>7.2809815406799299</v>
      </c>
      <c r="C95">
        <f t="shared" si="1"/>
        <v>5.3029364498272751E-6</v>
      </c>
    </row>
    <row r="96" spans="1:3" x14ac:dyDescent="0.25">
      <c r="A96">
        <v>1.2879998683929399</v>
      </c>
      <c r="B96">
        <v>7.2779870033264098</v>
      </c>
      <c r="C96">
        <f t="shared" si="1"/>
        <v>5.3403656265474613E-6</v>
      </c>
    </row>
    <row r="97" spans="1:3" x14ac:dyDescent="0.25">
      <c r="A97">
        <v>1.3019998073577801</v>
      </c>
      <c r="B97">
        <v>7.2792830467224103</v>
      </c>
      <c r="C97">
        <f t="shared" si="1"/>
        <v>5.325188336845191E-6</v>
      </c>
    </row>
    <row r="98" spans="1:3" x14ac:dyDescent="0.25">
      <c r="A98">
        <v>1.3159998655319201</v>
      </c>
      <c r="B98">
        <v>7.2810745239257804</v>
      </c>
      <c r="C98">
        <f t="shared" si="1"/>
        <v>5.3039999440886227E-6</v>
      </c>
    </row>
    <row r="99" spans="1:3" x14ac:dyDescent="0.25">
      <c r="A99">
        <v>1.32999992370605</v>
      </c>
      <c r="B99">
        <v>7.2826194763183496</v>
      </c>
      <c r="C99">
        <f t="shared" si="1"/>
        <v>5.2858954141983846E-6</v>
      </c>
    </row>
    <row r="100" spans="1:3" x14ac:dyDescent="0.25">
      <c r="A100">
        <v>1.34399986267089</v>
      </c>
      <c r="B100">
        <v>7.2830686569213796</v>
      </c>
      <c r="C100">
        <f t="shared" si="1"/>
        <v>5.2811607168016851E-6</v>
      </c>
    </row>
    <row r="101" spans="1:3" x14ac:dyDescent="0.25">
      <c r="A101">
        <v>1.35799980163574</v>
      </c>
      <c r="B101">
        <v>7.2790975570678702</v>
      </c>
      <c r="C101">
        <f t="shared" si="1"/>
        <v>5.3304082757499141E-6</v>
      </c>
    </row>
    <row r="102" spans="1:3" x14ac:dyDescent="0.25">
      <c r="A102">
        <v>1.3719998598098699</v>
      </c>
      <c r="B102">
        <v>7.27697277069091</v>
      </c>
      <c r="C102">
        <f t="shared" si="1"/>
        <v>5.3572910787285402E-6</v>
      </c>
    </row>
    <row r="103" spans="1:3" x14ac:dyDescent="0.25">
      <c r="A103">
        <v>1.3859999179839999</v>
      </c>
      <c r="B103">
        <v>7.2726736068725497</v>
      </c>
      <c r="C103">
        <f t="shared" si="1"/>
        <v>5.4113345165338574E-6</v>
      </c>
    </row>
    <row r="104" spans="1:3" x14ac:dyDescent="0.25">
      <c r="A104">
        <v>1.3999998569488501</v>
      </c>
      <c r="B104">
        <v>7.2684845924377397</v>
      </c>
      <c r="C104">
        <f t="shared" si="1"/>
        <v>5.4645368875320981E-6</v>
      </c>
    </row>
    <row r="105" spans="1:3" x14ac:dyDescent="0.25">
      <c r="A105">
        <v>1.4139997959136901</v>
      </c>
      <c r="B105">
        <v>7.2636179924011204</v>
      </c>
      <c r="C105">
        <f t="shared" si="1"/>
        <v>5.5268785249629308E-6</v>
      </c>
    </row>
    <row r="106" spans="1:3" x14ac:dyDescent="0.25">
      <c r="A106">
        <v>1.42799985408782</v>
      </c>
      <c r="B106">
        <v>7.2584576606750399</v>
      </c>
      <c r="C106">
        <f t="shared" si="1"/>
        <v>5.593713266228643E-6</v>
      </c>
    </row>
    <row r="107" spans="1:3" x14ac:dyDescent="0.25">
      <c r="A107">
        <v>1.44199991226196</v>
      </c>
      <c r="B107">
        <v>7.25266313552856</v>
      </c>
      <c r="C107">
        <f t="shared" si="1"/>
        <v>5.669629339081303E-6</v>
      </c>
    </row>
    <row r="108" spans="1:3" x14ac:dyDescent="0.25">
      <c r="A108">
        <v>1.4559998512268</v>
      </c>
      <c r="B108">
        <v>7.2460784912109304</v>
      </c>
      <c r="C108">
        <f t="shared" si="1"/>
        <v>5.757039960827548E-6</v>
      </c>
    </row>
    <row r="109" spans="1:3" x14ac:dyDescent="0.25">
      <c r="A109">
        <v>1.4699997901916499</v>
      </c>
      <c r="B109">
        <v>7.2400555610656703</v>
      </c>
      <c r="C109">
        <f t="shared" si="1"/>
        <v>5.8382420741695491E-6</v>
      </c>
    </row>
    <row r="110" spans="1:3" x14ac:dyDescent="0.25">
      <c r="A110">
        <v>1.4839998483657799</v>
      </c>
      <c r="B110">
        <v>7.2337021827697701</v>
      </c>
      <c r="C110">
        <f t="shared" si="1"/>
        <v>5.9250960262626793E-6</v>
      </c>
    </row>
    <row r="111" spans="1:3" x14ac:dyDescent="0.25">
      <c r="A111">
        <v>1.4979999065399101</v>
      </c>
      <c r="B111">
        <v>7.2272872924804599</v>
      </c>
      <c r="C111">
        <f t="shared" si="1"/>
        <v>6.0140937221878038E-6</v>
      </c>
    </row>
    <row r="112" spans="1:3" x14ac:dyDescent="0.25">
      <c r="A112">
        <v>1.5119998455047601</v>
      </c>
      <c r="B112">
        <v>7.2225532531738201</v>
      </c>
      <c r="C112">
        <f t="shared" si="1"/>
        <v>6.0808477597245533E-6</v>
      </c>
    </row>
    <row r="113" spans="1:3" x14ac:dyDescent="0.25">
      <c r="A113">
        <v>1.5259997844696001</v>
      </c>
      <c r="B113">
        <v>7.2168383598327601</v>
      </c>
      <c r="C113">
        <f t="shared" si="1"/>
        <v>6.1622443471414792E-6</v>
      </c>
    </row>
    <row r="114" spans="1:3" x14ac:dyDescent="0.25">
      <c r="A114">
        <v>1.53999984264373</v>
      </c>
      <c r="B114">
        <v>7.2114310264587402</v>
      </c>
      <c r="C114">
        <f t="shared" si="1"/>
        <v>6.2403095296094855E-6</v>
      </c>
    </row>
    <row r="115" spans="1:3" x14ac:dyDescent="0.25">
      <c r="A115">
        <v>1.55399990081787</v>
      </c>
      <c r="B115">
        <v>7.2065124511718697</v>
      </c>
      <c r="C115">
        <f t="shared" si="1"/>
        <v>6.312255689236286E-6</v>
      </c>
    </row>
    <row r="116" spans="1:3" x14ac:dyDescent="0.25">
      <c r="A116">
        <v>1.56799983978271</v>
      </c>
      <c r="B116">
        <v>7.2014265060424796</v>
      </c>
      <c r="C116">
        <f t="shared" si="1"/>
        <v>6.3874923647405822E-6</v>
      </c>
    </row>
    <row r="117" spans="1:3" x14ac:dyDescent="0.25">
      <c r="A117">
        <v>1.5819997787475499</v>
      </c>
      <c r="B117">
        <v>7.1961154937744096</v>
      </c>
      <c r="C117">
        <f t="shared" si="1"/>
        <v>6.4669762272722977E-6</v>
      </c>
    </row>
    <row r="118" spans="1:3" x14ac:dyDescent="0.25">
      <c r="A118">
        <v>1.5959998369216899</v>
      </c>
      <c r="B118">
        <v>7.1968851089477504</v>
      </c>
      <c r="C118">
        <f t="shared" si="1"/>
        <v>6.4564159207196475E-6</v>
      </c>
    </row>
    <row r="119" spans="1:3" x14ac:dyDescent="0.25">
      <c r="A119">
        <v>1.6099998950958201</v>
      </c>
      <c r="B119">
        <v>7.19569587707519</v>
      </c>
      <c r="C119">
        <f t="shared" si="1"/>
        <v>6.4750119436146771E-6</v>
      </c>
    </row>
    <row r="120" spans="1:3" x14ac:dyDescent="0.25">
      <c r="A120">
        <v>1.6239998340606601</v>
      </c>
      <c r="B120">
        <v>7.1922926902770996</v>
      </c>
      <c r="C120">
        <f t="shared" si="1"/>
        <v>6.5268494324452857E-6</v>
      </c>
    </row>
    <row r="121" spans="1:3" x14ac:dyDescent="0.25">
      <c r="A121">
        <v>1.63799977302551</v>
      </c>
      <c r="B121">
        <v>7.1938018798828098</v>
      </c>
      <c r="C121">
        <f t="shared" si="1"/>
        <v>6.505103782651022E-6</v>
      </c>
    </row>
    <row r="122" spans="1:3" x14ac:dyDescent="0.25">
      <c r="A122">
        <v>1.65199983119964</v>
      </c>
      <c r="B122">
        <v>7.1969270706176696</v>
      </c>
      <c r="C122">
        <f t="shared" si="1"/>
        <v>6.4593505802728423E-6</v>
      </c>
    </row>
    <row r="123" spans="1:3" x14ac:dyDescent="0.25">
      <c r="A123">
        <v>1.66599988937377</v>
      </c>
      <c r="B123">
        <v>7.1989765167236301</v>
      </c>
      <c r="C123">
        <f t="shared" si="1"/>
        <v>6.4298259869131641E-6</v>
      </c>
    </row>
    <row r="124" spans="1:3" x14ac:dyDescent="0.25">
      <c r="A124">
        <v>1.6799998283386199</v>
      </c>
      <c r="B124">
        <v>7.1979346275329501</v>
      </c>
      <c r="C124">
        <f t="shared" si="1"/>
        <v>6.4461574523118822E-6</v>
      </c>
    </row>
    <row r="125" spans="1:3" x14ac:dyDescent="0.25">
      <c r="A125">
        <v>1.6939997673034599</v>
      </c>
      <c r="B125">
        <v>7.1997056007385201</v>
      </c>
      <c r="C125">
        <f t="shared" si="1"/>
        <v>6.4208086629702075E-6</v>
      </c>
    </row>
    <row r="126" spans="1:3" x14ac:dyDescent="0.25">
      <c r="A126">
        <v>1.7079998254776001</v>
      </c>
      <c r="B126">
        <v>7.19828128814697</v>
      </c>
      <c r="C126">
        <f t="shared" si="1"/>
        <v>6.4427877679890522E-6</v>
      </c>
    </row>
    <row r="127" spans="1:3" x14ac:dyDescent="0.25">
      <c r="A127">
        <v>1.7219998836517301</v>
      </c>
      <c r="B127">
        <v>7.1945452690124503</v>
      </c>
      <c r="C127">
        <f t="shared" si="1"/>
        <v>6.4993454491417914E-6</v>
      </c>
    </row>
    <row r="128" spans="1:3" x14ac:dyDescent="0.25">
      <c r="A128">
        <v>1.73599982261657</v>
      </c>
      <c r="B128">
        <v>7.1912550926208496</v>
      </c>
      <c r="C128">
        <f t="shared" si="1"/>
        <v>6.5496722010451143E-6</v>
      </c>
    </row>
    <row r="129" spans="1:3" x14ac:dyDescent="0.25">
      <c r="A129">
        <v>1.74999976158142</v>
      </c>
      <c r="B129">
        <v>7.1891207695007298</v>
      </c>
      <c r="C129">
        <f t="shared" si="1"/>
        <v>6.5828452741423663E-6</v>
      </c>
    </row>
    <row r="130" spans="1:3" x14ac:dyDescent="0.25">
      <c r="A130">
        <v>1.76399981975555</v>
      </c>
      <c r="B130">
        <v>7.1853127479553196</v>
      </c>
      <c r="C130">
        <f t="shared" si="1"/>
        <v>6.6417331184565943E-6</v>
      </c>
    </row>
    <row r="131" spans="1:3" x14ac:dyDescent="0.25">
      <c r="A131">
        <v>1.77799987792968</v>
      </c>
      <c r="B131">
        <v>7.1851668357849103</v>
      </c>
      <c r="C131">
        <f t="shared" si="1"/>
        <v>6.6448789862678152E-6</v>
      </c>
    </row>
    <row r="132" spans="1:3" x14ac:dyDescent="0.25">
      <c r="A132">
        <v>1.7919998168945299</v>
      </c>
      <c r="B132">
        <v>7.1839785575866699</v>
      </c>
      <c r="C132">
        <f t="shared" si="1"/>
        <v>6.6640015445801758E-6</v>
      </c>
    </row>
    <row r="133" spans="1:3" x14ac:dyDescent="0.25">
      <c r="A133">
        <v>1.8059997558593699</v>
      </c>
      <c r="B133">
        <v>7.1789765357971103</v>
      </c>
      <c r="C133">
        <f t="shared" ref="C133:C196" si="2">(10^-B133)*(100+A133)</f>
        <v>6.7421255773223301E-6</v>
      </c>
    </row>
    <row r="134" spans="1:3" x14ac:dyDescent="0.25">
      <c r="A134">
        <v>1.8199998140335001</v>
      </c>
      <c r="B134">
        <v>7.1751599311828604</v>
      </c>
      <c r="C134">
        <f t="shared" si="2"/>
        <v>6.802572212641333E-6</v>
      </c>
    </row>
    <row r="135" spans="1:3" x14ac:dyDescent="0.25">
      <c r="A135">
        <v>1.83399987220764</v>
      </c>
      <c r="B135">
        <v>7.1717219352722097</v>
      </c>
      <c r="C135">
        <f t="shared" si="2"/>
        <v>6.8575797544951401E-6</v>
      </c>
    </row>
    <row r="136" spans="1:3" x14ac:dyDescent="0.25">
      <c r="A136">
        <v>1.84799981117248</v>
      </c>
      <c r="B136">
        <v>7.1731114387512198</v>
      </c>
      <c r="C136">
        <f t="shared" si="2"/>
        <v>6.8366140874314556E-6</v>
      </c>
    </row>
    <row r="137" spans="1:3" x14ac:dyDescent="0.25">
      <c r="A137">
        <v>1.86199975013732</v>
      </c>
      <c r="B137">
        <v>7.1746802330017001</v>
      </c>
      <c r="C137">
        <f t="shared" si="2"/>
        <v>6.8128992246723283E-6</v>
      </c>
    </row>
    <row r="138" spans="1:3" x14ac:dyDescent="0.25">
      <c r="A138">
        <v>1.87599980831146</v>
      </c>
      <c r="B138">
        <v>7.1736364364623997</v>
      </c>
      <c r="C138">
        <f t="shared" si="2"/>
        <v>6.8302318742843621E-6</v>
      </c>
    </row>
    <row r="139" spans="1:3" x14ac:dyDescent="0.25">
      <c r="A139">
        <v>1.8899998664855899</v>
      </c>
      <c r="B139">
        <v>7.1726865768432599</v>
      </c>
      <c r="C139">
        <f t="shared" si="2"/>
        <v>6.8461275282999398E-6</v>
      </c>
    </row>
    <row r="140" spans="1:3" x14ac:dyDescent="0.25">
      <c r="A140">
        <v>1.9039998054504299</v>
      </c>
      <c r="B140">
        <v>7.17209720611572</v>
      </c>
      <c r="C140">
        <f t="shared" si="2"/>
        <v>6.8563665046965005E-6</v>
      </c>
    </row>
    <row r="141" spans="1:3" x14ac:dyDescent="0.25">
      <c r="A141">
        <v>1.9179997444152801</v>
      </c>
      <c r="B141">
        <v>7.1683440208434996</v>
      </c>
      <c r="C141">
        <f t="shared" si="2"/>
        <v>6.9168263189960061E-6</v>
      </c>
    </row>
    <row r="142" spans="1:3" x14ac:dyDescent="0.25">
      <c r="A142">
        <v>1.9319998025894101</v>
      </c>
      <c r="B142">
        <v>7.1632313728332502</v>
      </c>
      <c r="C142">
        <f t="shared" si="2"/>
        <v>6.999695888216253E-6</v>
      </c>
    </row>
    <row r="143" spans="1:3" x14ac:dyDescent="0.25">
      <c r="A143">
        <v>1.94599986076354</v>
      </c>
      <c r="B143">
        <v>7.1570611000061</v>
      </c>
      <c r="C143">
        <f t="shared" si="2"/>
        <v>7.1008295795262655E-6</v>
      </c>
    </row>
    <row r="144" spans="1:3" x14ac:dyDescent="0.25">
      <c r="A144">
        <v>1.95999979972839</v>
      </c>
      <c r="B144">
        <v>7.1509470939636204</v>
      </c>
      <c r="C144">
        <f t="shared" si="2"/>
        <v>7.2024911278341476E-6</v>
      </c>
    </row>
    <row r="145" spans="1:3" x14ac:dyDescent="0.25">
      <c r="A145">
        <v>1.97399973869323</v>
      </c>
      <c r="B145">
        <v>7.1470160484313903</v>
      </c>
      <c r="C145">
        <f t="shared" si="2"/>
        <v>7.2689788561265202E-6</v>
      </c>
    </row>
    <row r="146" spans="1:3" x14ac:dyDescent="0.25">
      <c r="A146">
        <v>1.9879997968673699</v>
      </c>
      <c r="B146">
        <v>7.1461915969848597</v>
      </c>
      <c r="C146">
        <f t="shared" si="2"/>
        <v>7.2837910287890456E-6</v>
      </c>
    </row>
    <row r="147" spans="1:3" x14ac:dyDescent="0.25">
      <c r="A147">
        <v>2.0019998550414999</v>
      </c>
      <c r="B147">
        <v>7.1435480117797798</v>
      </c>
      <c r="C147">
        <f t="shared" si="2"/>
        <v>7.3292692249364928E-6</v>
      </c>
    </row>
    <row r="148" spans="1:3" x14ac:dyDescent="0.25">
      <c r="A148">
        <v>2.0159997940063401</v>
      </c>
      <c r="B148">
        <v>7.1394152641296298</v>
      </c>
      <c r="C148">
        <f t="shared" si="2"/>
        <v>7.400363049823978E-6</v>
      </c>
    </row>
    <row r="149" spans="1:3" x14ac:dyDescent="0.25">
      <c r="A149">
        <v>2.0299997329711901</v>
      </c>
      <c r="B149">
        <v>7.1344094276428196</v>
      </c>
      <c r="C149">
        <f t="shared" si="2"/>
        <v>7.487183167047907E-6</v>
      </c>
    </row>
    <row r="150" spans="1:3" x14ac:dyDescent="0.25">
      <c r="A150">
        <v>2.0439996719360298</v>
      </c>
      <c r="B150">
        <v>7.1288433074951101</v>
      </c>
      <c r="C150">
        <f t="shared" si="2"/>
        <v>7.5848005523101895E-6</v>
      </c>
    </row>
    <row r="151" spans="1:3" x14ac:dyDescent="0.25">
      <c r="A151">
        <v>2.05799984931945</v>
      </c>
      <c r="B151">
        <v>7.1235818862915004</v>
      </c>
      <c r="C151">
        <f t="shared" si="2"/>
        <v>7.678301589623985E-6</v>
      </c>
    </row>
    <row r="152" spans="1:3" x14ac:dyDescent="0.25">
      <c r="A152">
        <v>2.0719997882843</v>
      </c>
      <c r="B152">
        <v>7.1240048408508301</v>
      </c>
      <c r="C152">
        <f t="shared" si="2"/>
        <v>7.6718796730490183E-6</v>
      </c>
    </row>
    <row r="153" spans="1:3" x14ac:dyDescent="0.25">
      <c r="A153">
        <v>2.0859997272491402</v>
      </c>
      <c r="B153">
        <v>7.1244378089904696</v>
      </c>
      <c r="C153">
        <f t="shared" si="2"/>
        <v>7.665286241913263E-6</v>
      </c>
    </row>
    <row r="154" spans="1:3" x14ac:dyDescent="0.25">
      <c r="A154">
        <v>2.0999999046325599</v>
      </c>
      <c r="B154">
        <v>7.1266231536865199</v>
      </c>
      <c r="C154">
        <f t="shared" si="2"/>
        <v>7.627857795556469E-6</v>
      </c>
    </row>
    <row r="155" spans="1:3" x14ac:dyDescent="0.25">
      <c r="A155">
        <v>2.1139998435974099</v>
      </c>
      <c r="B155">
        <v>7.1267628669738698</v>
      </c>
      <c r="C155">
        <f t="shared" si="2"/>
        <v>7.626449889619699E-6</v>
      </c>
    </row>
    <row r="156" spans="1:3" x14ac:dyDescent="0.25">
      <c r="A156">
        <v>2.1279997825622501</v>
      </c>
      <c r="B156">
        <v>7.1257333755493102</v>
      </c>
      <c r="C156">
        <f t="shared" si="2"/>
        <v>7.6455978453867864E-6</v>
      </c>
    </row>
    <row r="157" spans="1:3" x14ac:dyDescent="0.25">
      <c r="A157">
        <v>2.1419997215270898</v>
      </c>
      <c r="B157">
        <v>7.1224727630615199</v>
      </c>
      <c r="C157">
        <f t="shared" si="2"/>
        <v>7.7042717499541987E-6</v>
      </c>
    </row>
    <row r="158" spans="1:3" x14ac:dyDescent="0.25">
      <c r="A158">
        <v>2.1559996604919398</v>
      </c>
      <c r="B158">
        <v>7.12341213226318</v>
      </c>
      <c r="C158">
        <f t="shared" si="2"/>
        <v>7.6886792852629248E-6</v>
      </c>
    </row>
    <row r="159" spans="1:3" x14ac:dyDescent="0.25">
      <c r="A159">
        <v>2.16999983787536</v>
      </c>
      <c r="B159">
        <v>7.1256051063537598</v>
      </c>
      <c r="C159">
        <f t="shared" si="2"/>
        <v>7.6510014864261742E-6</v>
      </c>
    </row>
    <row r="160" spans="1:3" x14ac:dyDescent="0.25">
      <c r="A160">
        <v>2.18399977684021</v>
      </c>
      <c r="B160">
        <v>7.1279063224792401</v>
      </c>
      <c r="C160">
        <f t="shared" si="2"/>
        <v>7.6116108364631814E-6</v>
      </c>
    </row>
    <row r="161" spans="1:3" x14ac:dyDescent="0.25">
      <c r="A161">
        <v>2.1979997158050502</v>
      </c>
      <c r="B161">
        <v>7.1268329620361301</v>
      </c>
      <c r="C161">
        <f t="shared" si="2"/>
        <v>7.6314916532338876E-6</v>
      </c>
    </row>
    <row r="162" spans="1:3" x14ac:dyDescent="0.25">
      <c r="A162">
        <v>2.2119998931884699</v>
      </c>
      <c r="B162">
        <v>7.1232428550720197</v>
      </c>
      <c r="C162">
        <f t="shared" si="2"/>
        <v>7.6958931756224284E-6</v>
      </c>
    </row>
    <row r="163" spans="1:3" x14ac:dyDescent="0.25">
      <c r="A163">
        <v>2.2259998321533199</v>
      </c>
      <c r="B163">
        <v>7.1187458038329998</v>
      </c>
      <c r="C163">
        <f t="shared" si="2"/>
        <v>7.7770620329862716E-6</v>
      </c>
    </row>
    <row r="164" spans="1:3" x14ac:dyDescent="0.25">
      <c r="A164">
        <v>2.2399997711181601</v>
      </c>
      <c r="B164">
        <v>7.1133065223693803</v>
      </c>
      <c r="C164">
        <f t="shared" si="2"/>
        <v>7.8761561453971362E-6</v>
      </c>
    </row>
    <row r="165" spans="1:3" x14ac:dyDescent="0.25">
      <c r="A165">
        <v>2.2539997100829998</v>
      </c>
      <c r="B165">
        <v>7.1075701713562003</v>
      </c>
      <c r="C165">
        <f t="shared" si="2"/>
        <v>7.9819707738862706E-6</v>
      </c>
    </row>
    <row r="166" spans="1:3" x14ac:dyDescent="0.25">
      <c r="A166">
        <v>2.2679996490478498</v>
      </c>
      <c r="B166">
        <v>7.1016292572021396</v>
      </c>
      <c r="C166">
        <f t="shared" si="2"/>
        <v>8.0930179581007677E-6</v>
      </c>
    </row>
    <row r="167" spans="1:3" x14ac:dyDescent="0.25">
      <c r="A167">
        <v>2.28199982643127</v>
      </c>
      <c r="B167">
        <v>7.0976376533508301</v>
      </c>
      <c r="C167">
        <f t="shared" si="2"/>
        <v>8.1688619632468407E-6</v>
      </c>
    </row>
    <row r="168" spans="1:3" x14ac:dyDescent="0.25">
      <c r="A168">
        <v>2.2959997653961102</v>
      </c>
      <c r="B168">
        <v>7.0946464538574201</v>
      </c>
      <c r="C168">
        <f t="shared" si="2"/>
        <v>8.2264449782261383E-6</v>
      </c>
    </row>
    <row r="169" spans="1:3" x14ac:dyDescent="0.25">
      <c r="A169">
        <v>2.3099997043609601</v>
      </c>
      <c r="B169">
        <v>7.0962872505187899</v>
      </c>
      <c r="C169">
        <f t="shared" si="2"/>
        <v>8.1965451008148388E-6</v>
      </c>
    </row>
    <row r="170" spans="1:3" x14ac:dyDescent="0.25">
      <c r="A170">
        <v>2.3239998817443799</v>
      </c>
      <c r="B170">
        <v>7.0985941886901802</v>
      </c>
      <c r="C170">
        <f t="shared" si="2"/>
        <v>8.1542368108242953E-6</v>
      </c>
    </row>
    <row r="171" spans="1:3" x14ac:dyDescent="0.25">
      <c r="A171">
        <v>2.3379998207092201</v>
      </c>
      <c r="B171">
        <v>7.1007585525512598</v>
      </c>
      <c r="C171">
        <f t="shared" si="2"/>
        <v>8.1148103033515835E-6</v>
      </c>
    </row>
    <row r="172" spans="1:3" x14ac:dyDescent="0.25">
      <c r="A172">
        <v>2.35199975967407</v>
      </c>
      <c r="B172">
        <v>7.0995631217956499</v>
      </c>
      <c r="C172">
        <f t="shared" si="2"/>
        <v>8.1382909202069519E-6</v>
      </c>
    </row>
    <row r="173" spans="1:3" x14ac:dyDescent="0.25">
      <c r="A173">
        <v>2.3659996986389098</v>
      </c>
      <c r="B173">
        <v>7.0959234237670898</v>
      </c>
      <c r="C173">
        <f t="shared" si="2"/>
        <v>8.2079047567210839E-6</v>
      </c>
    </row>
    <row r="174" spans="1:3" x14ac:dyDescent="0.25">
      <c r="A174">
        <v>2.37999963760375</v>
      </c>
      <c r="B174">
        <v>7.0913958549499503</v>
      </c>
      <c r="C174">
        <f t="shared" si="2"/>
        <v>8.295054976821487E-6</v>
      </c>
    </row>
    <row r="175" spans="1:3" x14ac:dyDescent="0.25">
      <c r="A175">
        <v>2.39399981498718</v>
      </c>
      <c r="B175">
        <v>7.08764171600341</v>
      </c>
      <c r="C175">
        <f t="shared" si="2"/>
        <v>8.3682142756038049E-6</v>
      </c>
    </row>
    <row r="176" spans="1:3" x14ac:dyDescent="0.25">
      <c r="A176">
        <v>2.4079997539520201</v>
      </c>
      <c r="B176">
        <v>7.0850310325622496</v>
      </c>
      <c r="C176">
        <f t="shared" si="2"/>
        <v>8.4198208485822349E-6</v>
      </c>
    </row>
    <row r="177" spans="1:3" x14ac:dyDescent="0.25">
      <c r="A177">
        <v>2.4219996929168701</v>
      </c>
      <c r="B177">
        <v>7.0813484191894496</v>
      </c>
      <c r="C177">
        <f t="shared" si="2"/>
        <v>8.4926813921463481E-6</v>
      </c>
    </row>
    <row r="178" spans="1:3" x14ac:dyDescent="0.25">
      <c r="A178">
        <v>2.4359998703002899</v>
      </c>
      <c r="B178">
        <v>7.0768437385559002</v>
      </c>
      <c r="C178">
        <f t="shared" si="2"/>
        <v>8.5824023816821904E-6</v>
      </c>
    </row>
    <row r="179" spans="1:3" x14ac:dyDescent="0.25">
      <c r="A179">
        <v>2.4499998092651301</v>
      </c>
      <c r="B179">
        <v>7.0749573707580504</v>
      </c>
      <c r="C179">
        <f t="shared" si="2"/>
        <v>8.6209393780637649E-6</v>
      </c>
    </row>
    <row r="180" spans="1:3" x14ac:dyDescent="0.25">
      <c r="A180">
        <v>2.46399974822998</v>
      </c>
      <c r="B180">
        <v>7.0709962844848597</v>
      </c>
      <c r="C180">
        <f t="shared" si="2"/>
        <v>8.7011172382931671E-6</v>
      </c>
    </row>
    <row r="181" spans="1:3" x14ac:dyDescent="0.25">
      <c r="A181">
        <v>2.4779996871948198</v>
      </c>
      <c r="B181">
        <v>7.0657582283020002</v>
      </c>
      <c r="C181">
        <f t="shared" si="2"/>
        <v>8.8079007317410846E-6</v>
      </c>
    </row>
    <row r="182" spans="1:3" x14ac:dyDescent="0.25">
      <c r="A182">
        <v>2.49199962615966</v>
      </c>
      <c r="B182">
        <v>7.0631480216979901</v>
      </c>
      <c r="C182">
        <f t="shared" si="2"/>
        <v>8.8622081169365371E-6</v>
      </c>
    </row>
    <row r="183" spans="1:3" x14ac:dyDescent="0.25">
      <c r="A183">
        <v>2.5059998035430899</v>
      </c>
      <c r="B183">
        <v>7.0601291656494096</v>
      </c>
      <c r="C183">
        <f t="shared" si="2"/>
        <v>8.9252444626308026E-6</v>
      </c>
    </row>
    <row r="184" spans="1:3" x14ac:dyDescent="0.25">
      <c r="A184">
        <v>2.5199997425079301</v>
      </c>
      <c r="B184">
        <v>7.05572462081909</v>
      </c>
      <c r="C184">
        <f t="shared" si="2"/>
        <v>9.0174548313100359E-6</v>
      </c>
    </row>
    <row r="185" spans="1:3" x14ac:dyDescent="0.25">
      <c r="A185">
        <v>2.5339996814727699</v>
      </c>
      <c r="B185">
        <v>7.0499100685119602</v>
      </c>
      <c r="C185">
        <f t="shared" si="2"/>
        <v>9.1402448600430105E-6</v>
      </c>
    </row>
    <row r="186" spans="1:3" x14ac:dyDescent="0.25">
      <c r="A186">
        <v>2.5479998588561998</v>
      </c>
      <c r="B186">
        <v>7.04506111145019</v>
      </c>
      <c r="C186">
        <f t="shared" si="2"/>
        <v>9.244130816144509E-6</v>
      </c>
    </row>
    <row r="187" spans="1:3" x14ac:dyDescent="0.25">
      <c r="A187">
        <v>2.56199979782104</v>
      </c>
      <c r="B187">
        <v>7.0420808792114196</v>
      </c>
      <c r="C187">
        <f t="shared" si="2"/>
        <v>9.3090551046980332E-6</v>
      </c>
    </row>
    <row r="188" spans="1:3" x14ac:dyDescent="0.25">
      <c r="A188">
        <v>2.5759997367858798</v>
      </c>
      <c r="B188">
        <v>7.0425329208373997</v>
      </c>
      <c r="C188">
        <f t="shared" si="2"/>
        <v>9.3006400670334893E-6</v>
      </c>
    </row>
    <row r="189" spans="1:3" x14ac:dyDescent="0.25">
      <c r="A189">
        <v>2.5899996757507302</v>
      </c>
      <c r="B189">
        <v>7.0413789749145499</v>
      </c>
      <c r="C189">
        <f t="shared" si="2"/>
        <v>9.3266580355317651E-6</v>
      </c>
    </row>
    <row r="190" spans="1:3" x14ac:dyDescent="0.25">
      <c r="A190">
        <v>2.60399961471557</v>
      </c>
      <c r="B190">
        <v>7.0401315689086896</v>
      </c>
      <c r="C190">
        <f t="shared" si="2"/>
        <v>9.3547615396804242E-6</v>
      </c>
    </row>
    <row r="191" spans="1:3" x14ac:dyDescent="0.25">
      <c r="A191">
        <v>2.6179997920989901</v>
      </c>
      <c r="B191">
        <v>7.0377702713012598</v>
      </c>
      <c r="C191">
        <f t="shared" si="2"/>
        <v>9.4070461346671398E-6</v>
      </c>
    </row>
    <row r="192" spans="1:3" x14ac:dyDescent="0.25">
      <c r="A192">
        <v>2.6319997310638401</v>
      </c>
      <c r="B192">
        <v>7.0334191322326598</v>
      </c>
      <c r="C192">
        <f t="shared" si="2"/>
        <v>9.5030641017875888E-6</v>
      </c>
    </row>
    <row r="193" spans="1:3" x14ac:dyDescent="0.25">
      <c r="A193">
        <v>2.6459996700286799</v>
      </c>
      <c r="B193">
        <v>7.0279231071472097</v>
      </c>
      <c r="C193">
        <f t="shared" si="2"/>
        <v>9.6254029945879483E-6</v>
      </c>
    </row>
    <row r="194" spans="1:3" x14ac:dyDescent="0.25">
      <c r="A194">
        <v>2.6599998474121</v>
      </c>
      <c r="B194">
        <v>7.0232424736022896</v>
      </c>
      <c r="C194">
        <f t="shared" si="2"/>
        <v>9.7310294224136433E-6</v>
      </c>
    </row>
    <row r="195" spans="1:3" x14ac:dyDescent="0.25">
      <c r="A195">
        <v>2.67399978637695</v>
      </c>
      <c r="B195">
        <v>7.0180239677429199</v>
      </c>
      <c r="C195">
        <f t="shared" si="2"/>
        <v>9.8500064086672274E-6</v>
      </c>
    </row>
    <row r="196" spans="1:3" x14ac:dyDescent="0.25">
      <c r="A196">
        <v>2.6879997253417902</v>
      </c>
      <c r="B196">
        <v>7.0141472816467196</v>
      </c>
      <c r="C196">
        <f t="shared" si="2"/>
        <v>9.9396802230590397E-6</v>
      </c>
    </row>
    <row r="197" spans="1:3" x14ac:dyDescent="0.25">
      <c r="A197">
        <v>2.7019996643066402</v>
      </c>
      <c r="B197">
        <v>7.0098681449890101</v>
      </c>
      <c r="C197">
        <f t="shared" ref="C197:C260" si="3">(10^-B197)*(100+A197)</f>
        <v>1.0039469268184293E-5</v>
      </c>
    </row>
    <row r="198" spans="1:3" x14ac:dyDescent="0.25">
      <c r="A198">
        <v>2.7159996032714799</v>
      </c>
      <c r="B198">
        <v>7.0098061561584402</v>
      </c>
      <c r="C198">
        <f t="shared" si="3"/>
        <v>1.0042271086590682E-5</v>
      </c>
    </row>
    <row r="199" spans="1:3" x14ac:dyDescent="0.25">
      <c r="A199">
        <v>2.7299997806549001</v>
      </c>
      <c r="B199">
        <v>7.0074748992919904</v>
      </c>
      <c r="C199">
        <f t="shared" si="3"/>
        <v>1.0097698235683822E-5</v>
      </c>
    </row>
    <row r="200" spans="1:3" x14ac:dyDescent="0.25">
      <c r="A200">
        <v>2.7439997196197501</v>
      </c>
      <c r="B200">
        <v>7.0034337043762198</v>
      </c>
      <c r="C200">
        <f t="shared" si="3"/>
        <v>1.0193486779266378E-5</v>
      </c>
    </row>
    <row r="201" spans="1:3" x14ac:dyDescent="0.25">
      <c r="A201">
        <v>2.7579996585845898</v>
      </c>
      <c r="B201">
        <v>6.9982786178588796</v>
      </c>
      <c r="C201">
        <f t="shared" si="3"/>
        <v>1.0316610248114466E-5</v>
      </c>
    </row>
    <row r="202" spans="1:3" x14ac:dyDescent="0.25">
      <c r="A202">
        <v>2.77199983596801</v>
      </c>
      <c r="B202">
        <v>6.9956488609313903</v>
      </c>
      <c r="C202">
        <f t="shared" si="3"/>
        <v>1.038068342102922E-5</v>
      </c>
    </row>
    <row r="203" spans="1:3" x14ac:dyDescent="0.25">
      <c r="A203">
        <v>2.78599977493286</v>
      </c>
      <c r="B203">
        <v>6.9948644638061497</v>
      </c>
      <c r="C203">
        <f t="shared" si="3"/>
        <v>1.0400865989242866E-5</v>
      </c>
    </row>
    <row r="204" spans="1:3" x14ac:dyDescent="0.25">
      <c r="A204">
        <v>2.7999997138977002</v>
      </c>
      <c r="B204">
        <v>6.9935956001281703</v>
      </c>
      <c r="C204">
        <f t="shared" si="3"/>
        <v>1.043271907890381E-5</v>
      </c>
    </row>
    <row r="205" spans="1:3" x14ac:dyDescent="0.25">
      <c r="A205">
        <v>2.8139996528625399</v>
      </c>
      <c r="B205">
        <v>6.9911317825317303</v>
      </c>
      <c r="C205">
        <f t="shared" si="3"/>
        <v>1.0493502535618505E-5</v>
      </c>
    </row>
    <row r="206" spans="1:3" x14ac:dyDescent="0.25">
      <c r="A206">
        <v>2.8279995918273899</v>
      </c>
      <c r="B206">
        <v>6.9870276451110804</v>
      </c>
      <c r="C206">
        <f t="shared" si="3"/>
        <v>1.0594579935430808E-5</v>
      </c>
    </row>
    <row r="207" spans="1:3" x14ac:dyDescent="0.25">
      <c r="A207">
        <v>2.8419997692108101</v>
      </c>
      <c r="B207">
        <v>6.9819455146789497</v>
      </c>
      <c r="C207">
        <f t="shared" si="3"/>
        <v>1.0720745792493812E-5</v>
      </c>
    </row>
    <row r="208" spans="1:3" x14ac:dyDescent="0.25">
      <c r="A208">
        <v>2.8559997081756499</v>
      </c>
      <c r="B208">
        <v>6.9765019416809002</v>
      </c>
      <c r="C208">
        <f t="shared" si="3"/>
        <v>1.0857446248165266E-5</v>
      </c>
    </row>
    <row r="209" spans="1:3" x14ac:dyDescent="0.25">
      <c r="A209">
        <v>2.8699996471404998</v>
      </c>
      <c r="B209">
        <v>6.9721817970275799</v>
      </c>
      <c r="C209">
        <f t="shared" si="3"/>
        <v>1.096748227805536E-5</v>
      </c>
    </row>
    <row r="210" spans="1:3" x14ac:dyDescent="0.25">
      <c r="A210">
        <v>2.88399982452392</v>
      </c>
      <c r="B210">
        <v>6.96807813644409</v>
      </c>
      <c r="C210">
        <f t="shared" si="3"/>
        <v>1.1073112277812402E-5</v>
      </c>
    </row>
    <row r="211" spans="1:3" x14ac:dyDescent="0.25">
      <c r="A211">
        <v>2.8979997634887602</v>
      </c>
      <c r="B211">
        <v>6.9637680053710902</v>
      </c>
      <c r="C211">
        <f t="shared" si="3"/>
        <v>1.1185075686829917E-5</v>
      </c>
    </row>
    <row r="212" spans="1:3" x14ac:dyDescent="0.25">
      <c r="A212">
        <v>2.9119997024536102</v>
      </c>
      <c r="B212">
        <v>6.9586234092712402</v>
      </c>
      <c r="C212">
        <f t="shared" si="3"/>
        <v>1.1319900457644688E-5</v>
      </c>
    </row>
    <row r="213" spans="1:3" x14ac:dyDescent="0.25">
      <c r="A213">
        <v>2.9259996414184499</v>
      </c>
      <c r="B213">
        <v>6.9556951522827104</v>
      </c>
      <c r="C213">
        <f t="shared" si="3"/>
        <v>1.139803382283697E-5</v>
      </c>
    </row>
    <row r="214" spans="1:3" x14ac:dyDescent="0.25">
      <c r="A214">
        <v>2.9399995803832999</v>
      </c>
      <c r="B214">
        <v>6.9541382789611799</v>
      </c>
      <c r="C214">
        <f t="shared" si="3"/>
        <v>1.144052312204049E-5</v>
      </c>
    </row>
    <row r="215" spans="1:3" x14ac:dyDescent="0.25">
      <c r="A215">
        <v>2.9539997577667201</v>
      </c>
      <c r="B215">
        <v>6.9545092582702601</v>
      </c>
      <c r="C215">
        <f t="shared" si="3"/>
        <v>1.1432309289321332E-5</v>
      </c>
    </row>
    <row r="216" spans="1:3" x14ac:dyDescent="0.25">
      <c r="A216">
        <v>2.9679996967315598</v>
      </c>
      <c r="B216">
        <v>6.9523544311523402</v>
      </c>
      <c r="C216">
        <f t="shared" si="3"/>
        <v>1.1490735947990717E-5</v>
      </c>
    </row>
    <row r="217" spans="1:3" x14ac:dyDescent="0.25">
      <c r="A217">
        <v>2.9819996356964098</v>
      </c>
      <c r="B217">
        <v>6.9491162300109801</v>
      </c>
      <c r="C217">
        <f t="shared" si="3"/>
        <v>1.157830779063162E-5</v>
      </c>
    </row>
    <row r="218" spans="1:3" x14ac:dyDescent="0.25">
      <c r="A218">
        <v>2.99599981307983</v>
      </c>
      <c r="B218">
        <v>6.9445085525512598</v>
      </c>
      <c r="C218">
        <f t="shared" si="3"/>
        <v>1.1703393440486453E-5</v>
      </c>
    </row>
    <row r="219" spans="1:3" x14ac:dyDescent="0.25">
      <c r="A219">
        <v>3.0099997520446702</v>
      </c>
      <c r="B219">
        <v>6.9386935234069798</v>
      </c>
      <c r="C219">
        <f t="shared" si="3"/>
        <v>1.1862763239690036E-5</v>
      </c>
    </row>
    <row r="220" spans="1:3" x14ac:dyDescent="0.25">
      <c r="A220">
        <v>3.0239996910095202</v>
      </c>
      <c r="B220">
        <v>6.9358267784118599</v>
      </c>
      <c r="C220">
        <f t="shared" si="3"/>
        <v>1.1942950383083185E-5</v>
      </c>
    </row>
    <row r="221" spans="1:3" x14ac:dyDescent="0.25">
      <c r="A221">
        <v>3.0379996299743599</v>
      </c>
      <c r="B221">
        <v>6.9373521804809499</v>
      </c>
      <c r="C221">
        <f t="shared" si="3"/>
        <v>1.1902693165944755E-5</v>
      </c>
    </row>
    <row r="222" spans="1:3" x14ac:dyDescent="0.25">
      <c r="A222">
        <v>3.0519995689392001</v>
      </c>
      <c r="B222">
        <v>6.93985795974731</v>
      </c>
      <c r="C222">
        <f t="shared" si="3"/>
        <v>1.1835823039341207E-5</v>
      </c>
    </row>
    <row r="223" spans="1:3" x14ac:dyDescent="0.25">
      <c r="A223">
        <v>3.0659997463226301</v>
      </c>
      <c r="B223">
        <v>6.9426712989807102</v>
      </c>
      <c r="C223">
        <f t="shared" si="3"/>
        <v>1.1760996515950183E-5</v>
      </c>
    </row>
    <row r="224" spans="1:3" x14ac:dyDescent="0.25">
      <c r="A224">
        <v>3.0799996852874698</v>
      </c>
      <c r="B224">
        <v>6.9419603347778303</v>
      </c>
      <c r="C224">
        <f t="shared" si="3"/>
        <v>1.1781865857750673E-5</v>
      </c>
    </row>
    <row r="225" spans="1:3" x14ac:dyDescent="0.25">
      <c r="A225">
        <v>3.09399962425231</v>
      </c>
      <c r="B225">
        <v>6.9433512687683097</v>
      </c>
      <c r="C225">
        <f t="shared" si="3"/>
        <v>1.1745786973365559E-5</v>
      </c>
    </row>
    <row r="226" spans="1:3" x14ac:dyDescent="0.25">
      <c r="A226">
        <v>3.10799980163574</v>
      </c>
      <c r="B226">
        <v>6.9414749145507804</v>
      </c>
      <c r="C226">
        <f t="shared" si="3"/>
        <v>1.1798246007426681E-5</v>
      </c>
    </row>
    <row r="227" spans="1:3" x14ac:dyDescent="0.25">
      <c r="A227">
        <v>3.1219997406005802</v>
      </c>
      <c r="B227">
        <v>6.93845415115356</v>
      </c>
      <c r="C227">
        <f t="shared" si="3"/>
        <v>1.1882208673148304E-5</v>
      </c>
    </row>
    <row r="228" spans="1:3" x14ac:dyDescent="0.25">
      <c r="A228">
        <v>3.1359996795654199</v>
      </c>
      <c r="B228">
        <v>6.9370517730712802</v>
      </c>
      <c r="C228">
        <f t="shared" si="3"/>
        <v>1.1922257824273628E-5</v>
      </c>
    </row>
    <row r="229" spans="1:3" x14ac:dyDescent="0.25">
      <c r="A229">
        <v>3.1499996185302699</v>
      </c>
      <c r="B229">
        <v>6.9358353614807102</v>
      </c>
      <c r="C229">
        <f t="shared" si="3"/>
        <v>1.1957320476280219E-5</v>
      </c>
    </row>
    <row r="230" spans="1:3" x14ac:dyDescent="0.25">
      <c r="A230">
        <v>3.1639995574951101</v>
      </c>
      <c r="B230">
        <v>6.9330110549926696</v>
      </c>
      <c r="C230">
        <f t="shared" si="3"/>
        <v>1.2036968276150397E-5</v>
      </c>
    </row>
    <row r="231" spans="1:3" x14ac:dyDescent="0.25">
      <c r="A231">
        <v>3.17799973487854</v>
      </c>
      <c r="B231">
        <v>6.9296393394470197</v>
      </c>
      <c r="C231">
        <f t="shared" si="3"/>
        <v>1.2132429174176053E-5</v>
      </c>
    </row>
    <row r="232" spans="1:3" x14ac:dyDescent="0.25">
      <c r="A232">
        <v>3.1919996738433798</v>
      </c>
      <c r="B232">
        <v>6.9263610839843697</v>
      </c>
      <c r="C232">
        <f t="shared" si="3"/>
        <v>1.2226015565950251E-5</v>
      </c>
    </row>
    <row r="233" spans="1:3" x14ac:dyDescent="0.25">
      <c r="A233">
        <v>3.20599961280822</v>
      </c>
      <c r="B233">
        <v>6.9231233596801696</v>
      </c>
      <c r="C233">
        <f t="shared" si="3"/>
        <v>1.2319173873646501E-5</v>
      </c>
    </row>
    <row r="234" spans="1:3" x14ac:dyDescent="0.25">
      <c r="A234">
        <v>3.2199997901916499</v>
      </c>
      <c r="B234">
        <v>6.9185976982116699</v>
      </c>
      <c r="C234">
        <f t="shared" si="3"/>
        <v>1.2449908385971214E-5</v>
      </c>
    </row>
    <row r="235" spans="1:3" x14ac:dyDescent="0.25">
      <c r="A235">
        <v>3.2339997291564901</v>
      </c>
      <c r="B235">
        <v>6.9138240814208896</v>
      </c>
      <c r="C235">
        <f t="shared" si="3"/>
        <v>1.2589215641927465E-5</v>
      </c>
    </row>
    <row r="236" spans="1:3" x14ac:dyDescent="0.25">
      <c r="A236">
        <v>3.2479996681213299</v>
      </c>
      <c r="B236">
        <v>6.90931940078735</v>
      </c>
      <c r="C236">
        <f t="shared" si="3"/>
        <v>1.2722200789084438E-5</v>
      </c>
    </row>
    <row r="237" spans="1:3" x14ac:dyDescent="0.25">
      <c r="A237">
        <v>3.2619996070861799</v>
      </c>
      <c r="B237">
        <v>6.9049792289733798</v>
      </c>
      <c r="C237">
        <f t="shared" si="3"/>
        <v>1.2851721380478032E-5</v>
      </c>
    </row>
    <row r="238" spans="1:3" x14ac:dyDescent="0.25">
      <c r="A238">
        <v>3.2759995460510201</v>
      </c>
      <c r="B238">
        <v>6.9010510444641104</v>
      </c>
      <c r="C238">
        <f t="shared" si="3"/>
        <v>1.297025045814832E-5</v>
      </c>
    </row>
    <row r="239" spans="1:3" x14ac:dyDescent="0.25">
      <c r="A239">
        <v>3.2899997234344398</v>
      </c>
      <c r="B239">
        <v>6.8967723846435502</v>
      </c>
      <c r="C239">
        <f t="shared" si="3"/>
        <v>1.3100440278026798E-5</v>
      </c>
    </row>
    <row r="240" spans="1:3" x14ac:dyDescent="0.25">
      <c r="A240">
        <v>3.3039996623992902</v>
      </c>
      <c r="B240">
        <v>6.8948345184326101</v>
      </c>
      <c r="C240">
        <f t="shared" si="3"/>
        <v>1.3160809964227209E-5</v>
      </c>
    </row>
    <row r="241" spans="1:3" x14ac:dyDescent="0.25">
      <c r="A241">
        <v>3.31799960136413</v>
      </c>
      <c r="B241">
        <v>6.8913497924804599</v>
      </c>
      <c r="C241">
        <f t="shared" si="3"/>
        <v>1.326863344206977E-5</v>
      </c>
    </row>
    <row r="242" spans="1:3" x14ac:dyDescent="0.25">
      <c r="A242">
        <v>3.3319997787475502</v>
      </c>
      <c r="B242">
        <v>6.8873291015625</v>
      </c>
      <c r="C242">
        <f t="shared" si="3"/>
        <v>1.3393859310636725E-5</v>
      </c>
    </row>
    <row r="243" spans="1:3" x14ac:dyDescent="0.25">
      <c r="A243">
        <v>3.3459997177124001</v>
      </c>
      <c r="B243">
        <v>6.8817105293273899</v>
      </c>
      <c r="C243">
        <f t="shared" si="3"/>
        <v>1.3570102917990421E-5</v>
      </c>
    </row>
    <row r="244" spans="1:3" x14ac:dyDescent="0.25">
      <c r="A244">
        <v>3.3599996566772399</v>
      </c>
      <c r="B244">
        <v>6.8773808479309002</v>
      </c>
      <c r="C244">
        <f t="shared" si="3"/>
        <v>1.370792284304127E-5</v>
      </c>
    </row>
    <row r="245" spans="1:3" x14ac:dyDescent="0.25">
      <c r="A245">
        <v>3.3739995956420898</v>
      </c>
      <c r="B245">
        <v>6.8742260932922301</v>
      </c>
      <c r="C245">
        <f t="shared" si="3"/>
        <v>1.3809731234113434E-5</v>
      </c>
    </row>
    <row r="246" spans="1:3" x14ac:dyDescent="0.25">
      <c r="A246">
        <v>3.38799953460693</v>
      </c>
      <c r="B246">
        <v>6.8711128234863201</v>
      </c>
      <c r="C246">
        <f t="shared" si="3"/>
        <v>1.3910966626528639E-5</v>
      </c>
    </row>
    <row r="247" spans="1:3" x14ac:dyDescent="0.25">
      <c r="A247">
        <v>3.4019997119903498</v>
      </c>
      <c r="B247">
        <v>6.8712468147277797</v>
      </c>
      <c r="C247">
        <f t="shared" si="3"/>
        <v>1.3908558548224998E-5</v>
      </c>
    </row>
    <row r="248" spans="1:3" x14ac:dyDescent="0.25">
      <c r="A248">
        <v>3.4159996509552002</v>
      </c>
      <c r="B248">
        <v>6.8736076354980398</v>
      </c>
      <c r="C248">
        <f t="shared" si="3"/>
        <v>1.383502979708089E-5</v>
      </c>
    </row>
    <row r="249" spans="1:3" x14ac:dyDescent="0.25">
      <c r="A249">
        <v>3.4299995899200399</v>
      </c>
      <c r="B249">
        <v>6.8761539459228498</v>
      </c>
      <c r="C249">
        <f t="shared" si="3"/>
        <v>1.3756012982987967E-5</v>
      </c>
    </row>
    <row r="250" spans="1:3" x14ac:dyDescent="0.25">
      <c r="A250">
        <v>3.4439997673034601</v>
      </c>
      <c r="B250">
        <v>6.8783187866210902</v>
      </c>
      <c r="C250">
        <f t="shared" si="3"/>
        <v>1.3689466332529723E-5</v>
      </c>
    </row>
    <row r="251" spans="1:3" x14ac:dyDescent="0.25">
      <c r="A251">
        <v>3.4579997062683101</v>
      </c>
      <c r="B251">
        <v>6.8764219284057599</v>
      </c>
      <c r="C251">
        <f t="shared" si="3"/>
        <v>1.3751249089876334E-5</v>
      </c>
    </row>
    <row r="252" spans="1:3" x14ac:dyDescent="0.25">
      <c r="A252">
        <v>3.4719996452331499</v>
      </c>
      <c r="B252">
        <v>6.8721537590026802</v>
      </c>
      <c r="C252">
        <f t="shared" si="3"/>
        <v>1.3888939403303444E-5</v>
      </c>
    </row>
    <row r="253" spans="1:3" x14ac:dyDescent="0.25">
      <c r="A253">
        <v>3.4859995841979901</v>
      </c>
      <c r="B253">
        <v>6.8718447685241699</v>
      </c>
      <c r="C253">
        <f t="shared" si="3"/>
        <v>1.3900705113349638E-5</v>
      </c>
    </row>
    <row r="254" spans="1:3" x14ac:dyDescent="0.25">
      <c r="A254">
        <v>3.49999952316284</v>
      </c>
      <c r="B254">
        <v>6.8728446960449201</v>
      </c>
      <c r="C254">
        <f t="shared" si="3"/>
        <v>1.38706129033152E-5</v>
      </c>
    </row>
    <row r="255" spans="1:3" x14ac:dyDescent="0.25">
      <c r="A255">
        <v>3.5139997005462602</v>
      </c>
      <c r="B255">
        <v>6.8741126060485804</v>
      </c>
      <c r="C255">
        <f t="shared" si="3"/>
        <v>1.38320478823009E-5</v>
      </c>
    </row>
    <row r="256" spans="1:3" x14ac:dyDescent="0.25">
      <c r="A256">
        <v>3.5279996395111</v>
      </c>
      <c r="B256">
        <v>6.8750095367431596</v>
      </c>
      <c r="C256">
        <f t="shared" si="3"/>
        <v>1.3805377476970692E-5</v>
      </c>
    </row>
    <row r="257" spans="1:3" x14ac:dyDescent="0.25">
      <c r="A257">
        <v>3.5419995784759499</v>
      </c>
      <c r="B257">
        <v>6.8766589164733798</v>
      </c>
      <c r="C257">
        <f t="shared" si="3"/>
        <v>1.3754906140794356E-5</v>
      </c>
    </row>
    <row r="258" spans="1:3" x14ac:dyDescent="0.25">
      <c r="A258">
        <v>3.5559997558593701</v>
      </c>
      <c r="B258">
        <v>6.8743600845336896</v>
      </c>
      <c r="C258">
        <f t="shared" si="3"/>
        <v>1.3829777125746498E-5</v>
      </c>
    </row>
    <row r="259" spans="1:3" x14ac:dyDescent="0.25">
      <c r="A259">
        <v>3.5699996948242099</v>
      </c>
      <c r="B259">
        <v>6.87115383148193</v>
      </c>
      <c r="C259">
        <f t="shared" si="3"/>
        <v>1.3934139159153748E-5</v>
      </c>
    </row>
    <row r="260" spans="1:3" x14ac:dyDescent="0.25">
      <c r="A260">
        <v>3.5839996337890598</v>
      </c>
      <c r="B260">
        <v>6.8675975799560502</v>
      </c>
      <c r="C260">
        <f t="shared" si="3"/>
        <v>1.4050607311788687E-5</v>
      </c>
    </row>
    <row r="261" spans="1:3" x14ac:dyDescent="0.25">
      <c r="A261">
        <v>3.5979995727539</v>
      </c>
      <c r="B261">
        <v>6.8627109527587802</v>
      </c>
      <c r="C261">
        <f t="shared" ref="C261:C324" si="4">(10^-B261)*(100+A261)</f>
        <v>1.4211516273703581E-5</v>
      </c>
    </row>
    <row r="262" spans="1:3" x14ac:dyDescent="0.25">
      <c r="A262">
        <v>3.61199951171875</v>
      </c>
      <c r="B262">
        <v>6.8611025810241699</v>
      </c>
      <c r="C262">
        <f t="shared" si="4"/>
        <v>1.4266172591968412E-5</v>
      </c>
    </row>
    <row r="263" spans="1:3" x14ac:dyDescent="0.25">
      <c r="A263">
        <v>3.6259996891021702</v>
      </c>
      <c r="B263">
        <v>6.8621544837951598</v>
      </c>
      <c r="C263">
        <f t="shared" si="4"/>
        <v>1.4233583369342968E-5</v>
      </c>
    </row>
    <row r="264" spans="1:3" x14ac:dyDescent="0.25">
      <c r="A264">
        <v>3.6399996280670099</v>
      </c>
      <c r="B264">
        <v>6.8639278411865199</v>
      </c>
      <c r="C264">
        <f t="shared" si="4"/>
        <v>1.417749691867033E-5</v>
      </c>
    </row>
    <row r="265" spans="1:3" x14ac:dyDescent="0.25">
      <c r="A265">
        <v>3.6539995670318599</v>
      </c>
      <c r="B265">
        <v>6.8657112121581996</v>
      </c>
      <c r="C265">
        <f t="shared" si="4"/>
        <v>1.412130561469315E-5</v>
      </c>
    </row>
    <row r="266" spans="1:3" x14ac:dyDescent="0.25">
      <c r="A266">
        <v>3.6679997444152801</v>
      </c>
      <c r="B266">
        <v>6.8668761253356898</v>
      </c>
      <c r="C266">
        <f t="shared" si="4"/>
        <v>1.4085380831161274E-5</v>
      </c>
    </row>
    <row r="267" spans="1:3" x14ac:dyDescent="0.25">
      <c r="A267">
        <v>3.6819996833801198</v>
      </c>
      <c r="B267">
        <v>6.8684015274047798</v>
      </c>
      <c r="C267">
        <f t="shared" si="4"/>
        <v>1.4037890075083473E-5</v>
      </c>
    </row>
    <row r="268" spans="1:3" x14ac:dyDescent="0.25">
      <c r="A268">
        <v>3.6959996223449698</v>
      </c>
      <c r="B268">
        <v>6.8695564270019496</v>
      </c>
      <c r="C268">
        <f t="shared" si="4"/>
        <v>1.4002499812502457E-5</v>
      </c>
    </row>
    <row r="269" spans="1:3" x14ac:dyDescent="0.25">
      <c r="A269">
        <v>3.70999956130981</v>
      </c>
      <c r="B269">
        <v>6.8701643943786603</v>
      </c>
      <c r="C269">
        <f t="shared" si="4"/>
        <v>1.3984799299450197E-5</v>
      </c>
    </row>
    <row r="270" spans="1:3" x14ac:dyDescent="0.25">
      <c r="A270">
        <v>3.7239995002746502</v>
      </c>
      <c r="B270">
        <v>6.8691954612731898</v>
      </c>
      <c r="C270">
        <f t="shared" si="4"/>
        <v>1.4017926971645059E-5</v>
      </c>
    </row>
    <row r="271" spans="1:3" x14ac:dyDescent="0.25">
      <c r="A271">
        <v>3.7379996776580802</v>
      </c>
      <c r="B271">
        <v>6.8671751022338796</v>
      </c>
      <c r="C271">
        <f t="shared" si="4"/>
        <v>1.4085191865991393E-5</v>
      </c>
    </row>
    <row r="272" spans="1:3" x14ac:dyDescent="0.25">
      <c r="A272">
        <v>3.7519996166229199</v>
      </c>
      <c r="B272">
        <v>6.8629689216613698</v>
      </c>
      <c r="C272">
        <f t="shared" si="4"/>
        <v>1.4224190301781418E-5</v>
      </c>
    </row>
    <row r="273" spans="1:3" x14ac:dyDescent="0.25">
      <c r="A273">
        <v>3.7659995555877601</v>
      </c>
      <c r="B273">
        <v>6.8614225387573198</v>
      </c>
      <c r="C273">
        <f t="shared" si="4"/>
        <v>1.4276854553610251E-5</v>
      </c>
    </row>
    <row r="274" spans="1:3" x14ac:dyDescent="0.25">
      <c r="A274">
        <v>3.7799997329711901</v>
      </c>
      <c r="B274">
        <v>6.8615360260009703</v>
      </c>
      <c r="C274">
        <f t="shared" si="4"/>
        <v>1.4275050037921523E-5</v>
      </c>
    </row>
    <row r="275" spans="1:3" x14ac:dyDescent="0.25">
      <c r="A275">
        <v>3.7939996719360298</v>
      </c>
      <c r="B275">
        <v>6.8578557968139604</v>
      </c>
      <c r="C275">
        <f t="shared" si="4"/>
        <v>1.4398473481734694E-5</v>
      </c>
    </row>
    <row r="276" spans="1:3" x14ac:dyDescent="0.25">
      <c r="A276">
        <v>3.80799961090087</v>
      </c>
      <c r="B276">
        <v>6.8573923110961896</v>
      </c>
      <c r="C276">
        <f t="shared" si="4"/>
        <v>1.4415792123656031E-5</v>
      </c>
    </row>
    <row r="277" spans="1:3" x14ac:dyDescent="0.25">
      <c r="A277">
        <v>3.82199954986572</v>
      </c>
      <c r="B277">
        <v>6.8560829162597603</v>
      </c>
      <c r="C277">
        <f t="shared" si="4"/>
        <v>1.4461271262121111E-5</v>
      </c>
    </row>
    <row r="278" spans="1:3" x14ac:dyDescent="0.25">
      <c r="A278">
        <v>3.8359994888305602</v>
      </c>
      <c r="B278">
        <v>6.8557205200195304</v>
      </c>
      <c r="C278">
        <f t="shared" si="4"/>
        <v>1.4475295146299144E-5</v>
      </c>
    </row>
    <row r="279" spans="1:3" x14ac:dyDescent="0.25">
      <c r="A279">
        <v>3.8499996662139799</v>
      </c>
      <c r="B279">
        <v>6.8523411750793404</v>
      </c>
      <c r="C279">
        <f t="shared" si="4"/>
        <v>1.4590337042968673E-5</v>
      </c>
    </row>
    <row r="280" spans="1:3" x14ac:dyDescent="0.25">
      <c r="A280">
        <v>3.8639996051788299</v>
      </c>
      <c r="B280">
        <v>6.85186719894409</v>
      </c>
      <c r="C280">
        <f t="shared" si="4"/>
        <v>1.4608238257031637E-5</v>
      </c>
    </row>
    <row r="281" spans="1:3" x14ac:dyDescent="0.25">
      <c r="A281">
        <v>3.8779995441436701</v>
      </c>
      <c r="B281">
        <v>6.8510937690734801</v>
      </c>
      <c r="C281">
        <f t="shared" si="4"/>
        <v>1.4636249643564879E-5</v>
      </c>
    </row>
    <row r="282" spans="1:3" x14ac:dyDescent="0.25">
      <c r="A282">
        <v>3.8919997215270898</v>
      </c>
      <c r="B282">
        <v>6.8519906997680602</v>
      </c>
      <c r="C282">
        <f t="shared" si="4"/>
        <v>1.4608021719769336E-5</v>
      </c>
    </row>
    <row r="283" spans="1:3" x14ac:dyDescent="0.25">
      <c r="A283">
        <v>3.9059996604919398</v>
      </c>
      <c r="B283">
        <v>6.8477644920349103</v>
      </c>
      <c r="C283">
        <f t="shared" si="4"/>
        <v>1.4752857004882342E-5</v>
      </c>
    </row>
    <row r="284" spans="1:3" x14ac:dyDescent="0.25">
      <c r="A284">
        <v>3.91999959945678</v>
      </c>
      <c r="B284">
        <v>6.8470530509948704</v>
      </c>
      <c r="C284">
        <f t="shared" si="4"/>
        <v>1.4779035263913248E-5</v>
      </c>
    </row>
    <row r="285" spans="1:3" x14ac:dyDescent="0.25">
      <c r="A285">
        <v>3.93399953842163</v>
      </c>
      <c r="B285">
        <v>6.8470220565795898</v>
      </c>
      <c r="C285">
        <f t="shared" si="4"/>
        <v>1.4782081191571395E-5</v>
      </c>
    </row>
    <row r="286" spans="1:3" x14ac:dyDescent="0.25">
      <c r="A286">
        <v>3.9479994773864702</v>
      </c>
      <c r="B286">
        <v>6.8472900390625</v>
      </c>
      <c r="C286">
        <f t="shared" si="4"/>
        <v>1.4774952607671174E-5</v>
      </c>
    </row>
    <row r="287" spans="1:3" x14ac:dyDescent="0.25">
      <c r="A287">
        <v>3.9619996547698899</v>
      </c>
      <c r="B287">
        <v>6.8438782691955504</v>
      </c>
      <c r="C287">
        <f t="shared" si="4"/>
        <v>1.4893485781556412E-5</v>
      </c>
    </row>
    <row r="288" spans="1:3" x14ac:dyDescent="0.25">
      <c r="A288">
        <v>3.9759995937347399</v>
      </c>
      <c r="B288">
        <v>6.8398990631103498</v>
      </c>
      <c r="C288">
        <f t="shared" si="4"/>
        <v>1.5032597908537359E-5</v>
      </c>
    </row>
    <row r="289" spans="1:5" x14ac:dyDescent="0.25">
      <c r="A289">
        <v>3.9899995326995801</v>
      </c>
      <c r="B289">
        <v>6.8347134590148899</v>
      </c>
      <c r="C289">
        <f t="shared" si="4"/>
        <v>1.5215215829049329E-5</v>
      </c>
    </row>
    <row r="290" spans="1:5" x14ac:dyDescent="0.25">
      <c r="A290">
        <v>4.0039997100829998</v>
      </c>
      <c r="B290">
        <v>6.8286728858947701</v>
      </c>
      <c r="C290">
        <f t="shared" si="4"/>
        <v>1.5430398974778606E-5</v>
      </c>
    </row>
    <row r="291" spans="1:5" x14ac:dyDescent="0.25">
      <c r="A291">
        <v>4.0179996490478498</v>
      </c>
      <c r="B291">
        <v>6.8213019371032697</v>
      </c>
      <c r="C291">
        <f t="shared" si="4"/>
        <v>1.5696635036438684E-5</v>
      </c>
    </row>
    <row r="292" spans="1:5" x14ac:dyDescent="0.25">
      <c r="A292">
        <v>4.03199958801269</v>
      </c>
      <c r="B292">
        <v>6.8152513504028303</v>
      </c>
      <c r="C292">
        <f t="shared" si="4"/>
        <v>1.5918993143807169E-5</v>
      </c>
    </row>
    <row r="293" spans="1:5" x14ac:dyDescent="0.25">
      <c r="A293">
        <v>4.0459995269775302</v>
      </c>
      <c r="B293">
        <v>6.8089323043823198</v>
      </c>
      <c r="C293">
        <f t="shared" si="4"/>
        <v>1.6154483692991389E-5</v>
      </c>
    </row>
    <row r="294" spans="1:5" x14ac:dyDescent="0.25">
      <c r="A294">
        <v>4.0599994659423801</v>
      </c>
      <c r="B294">
        <v>6.8032722473144496</v>
      </c>
      <c r="C294">
        <f t="shared" si="4"/>
        <v>1.6368601358904042E-5</v>
      </c>
    </row>
    <row r="295" spans="1:5" x14ac:dyDescent="0.25">
      <c r="A295">
        <v>4.0739994049072203</v>
      </c>
      <c r="B295">
        <v>6.7988295555114702</v>
      </c>
      <c r="C295">
        <f t="shared" si="4"/>
        <v>1.6539131059227427E-5</v>
      </c>
    </row>
    <row r="296" spans="1:5" x14ac:dyDescent="0.25">
      <c r="A296">
        <v>4.0879993438720703</v>
      </c>
      <c r="B296">
        <v>6.7939853668212802</v>
      </c>
      <c r="C296">
        <f t="shared" si="4"/>
        <v>1.672689359771062E-5</v>
      </c>
    </row>
    <row r="297" spans="1:5" x14ac:dyDescent="0.25">
      <c r="A297">
        <v>4.1019997596740696</v>
      </c>
      <c r="B297">
        <v>6.7890067100524902</v>
      </c>
      <c r="C297">
        <f t="shared" si="4"/>
        <v>1.6922026162823669E-5</v>
      </c>
    </row>
    <row r="298" spans="1:5" x14ac:dyDescent="0.25">
      <c r="A298">
        <v>4.1159996986389098</v>
      </c>
      <c r="B298">
        <v>6.7863779067993102</v>
      </c>
      <c r="C298">
        <f t="shared" si="4"/>
        <v>1.7027056090240977E-5</v>
      </c>
    </row>
    <row r="299" spans="1:5" x14ac:dyDescent="0.25">
      <c r="A299">
        <v>4.1299996376037598</v>
      </c>
      <c r="B299">
        <v>6.7815742492675701</v>
      </c>
      <c r="C299">
        <f t="shared" si="4"/>
        <v>1.721874988423606E-5</v>
      </c>
    </row>
    <row r="300" spans="1:5" x14ac:dyDescent="0.25">
      <c r="A300">
        <v>4.1439995765686</v>
      </c>
      <c r="B300">
        <v>6.7755713462829501</v>
      </c>
      <c r="C300">
        <f t="shared" si="4"/>
        <v>1.7460750479199756E-5</v>
      </c>
    </row>
    <row r="301" spans="1:5" x14ac:dyDescent="0.25">
      <c r="A301">
        <v>4.1579995155334402</v>
      </c>
      <c r="B301">
        <v>6.7715859413146902</v>
      </c>
      <c r="C301">
        <f t="shared" si="4"/>
        <v>1.7624089467771176E-5</v>
      </c>
      <c r="D301">
        <v>11567.9033203125</v>
      </c>
      <c r="E301">
        <v>21.679437637329102</v>
      </c>
    </row>
    <row r="302" spans="1:5" x14ac:dyDescent="0.25">
      <c r="A302">
        <v>4.1719994544982901</v>
      </c>
      <c r="B302">
        <v>6.7688641548156703</v>
      </c>
      <c r="C302">
        <f t="shared" si="4"/>
        <v>1.773727278512561E-5</v>
      </c>
      <c r="D302">
        <v>11609.701171875</v>
      </c>
      <c r="E302">
        <v>21.679437637329102</v>
      </c>
    </row>
    <row r="303" spans="1:5" x14ac:dyDescent="0.25">
      <c r="A303">
        <v>4.1859993934631303</v>
      </c>
      <c r="B303">
        <v>6.7656588554382298</v>
      </c>
      <c r="C303">
        <f t="shared" si="4"/>
        <v>1.7871067968894831E-5</v>
      </c>
      <c r="D303">
        <v>11653.6005859375</v>
      </c>
      <c r="E303">
        <v>21.680397033691399</v>
      </c>
    </row>
    <row r="304" spans="1:5" x14ac:dyDescent="0.25">
      <c r="A304">
        <v>4.1999998092651296</v>
      </c>
      <c r="B304">
        <v>6.7622056007385201</v>
      </c>
      <c r="C304">
        <f t="shared" si="4"/>
        <v>1.8016155325152884E-5</v>
      </c>
      <c r="D304">
        <v>11689.4990234375</v>
      </c>
      <c r="E304">
        <v>21.680397033691399</v>
      </c>
    </row>
    <row r="305" spans="1:5" x14ac:dyDescent="0.25">
      <c r="A305">
        <v>4.2139997482299796</v>
      </c>
      <c r="B305">
        <v>6.7571349143981898</v>
      </c>
      <c r="C305">
        <f t="shared" si="4"/>
        <v>1.8230188114788618E-5</v>
      </c>
      <c r="D305">
        <v>11718.1005859375</v>
      </c>
      <c r="E305">
        <v>21.683269500732401</v>
      </c>
    </row>
    <row r="306" spans="1:5" x14ac:dyDescent="0.25">
      <c r="A306">
        <v>4.2279996871948198</v>
      </c>
      <c r="B306">
        <v>6.7511730194091797</v>
      </c>
      <c r="C306">
        <f t="shared" si="4"/>
        <v>1.848465646118599E-5</v>
      </c>
      <c r="D306">
        <v>11739.9990234375</v>
      </c>
      <c r="E306">
        <v>21.6740112304687</v>
      </c>
    </row>
    <row r="307" spans="1:5" x14ac:dyDescent="0.25">
      <c r="A307">
        <v>4.24199962615966</v>
      </c>
      <c r="B307">
        <v>6.7455677986145002</v>
      </c>
      <c r="C307">
        <f t="shared" si="4"/>
        <v>1.8727289968387364E-5</v>
      </c>
      <c r="D307">
        <v>11773.40234375</v>
      </c>
      <c r="E307">
        <v>21.680715560913001</v>
      </c>
    </row>
    <row r="308" spans="1:5" x14ac:dyDescent="0.25">
      <c r="A308">
        <v>4.2559995651245099</v>
      </c>
      <c r="B308">
        <v>6.7432594299316397</v>
      </c>
      <c r="C308">
        <f t="shared" si="4"/>
        <v>1.8829623075216241E-5</v>
      </c>
      <c r="D308">
        <v>11824.7998046875</v>
      </c>
      <c r="E308">
        <v>21.681673049926701</v>
      </c>
    </row>
    <row r="309" spans="1:5" x14ac:dyDescent="0.25">
      <c r="A309">
        <v>4.2699995040893501</v>
      </c>
      <c r="B309">
        <v>6.7388672828674299</v>
      </c>
      <c r="C309">
        <f t="shared" si="4"/>
        <v>1.9023572970505921E-5</v>
      </c>
      <c r="D309">
        <v>11851.4990234375</v>
      </c>
      <c r="E309">
        <v>21.680397033691399</v>
      </c>
    </row>
    <row r="310" spans="1:5" x14ac:dyDescent="0.25">
      <c r="A310">
        <v>4.2839994430541903</v>
      </c>
      <c r="B310">
        <v>6.7344155311584402</v>
      </c>
      <c r="C310">
        <f t="shared" si="4"/>
        <v>1.9222158212038444E-5</v>
      </c>
      <c r="D310">
        <v>11889.2021484375</v>
      </c>
      <c r="E310">
        <v>21.682949066162099</v>
      </c>
    </row>
    <row r="311" spans="1:5" x14ac:dyDescent="0.25">
      <c r="A311">
        <v>4.2979993820190403</v>
      </c>
      <c r="B311">
        <v>6.7288188934326101</v>
      </c>
      <c r="C311">
        <f t="shared" si="4"/>
        <v>1.9474086043632655E-5</v>
      </c>
      <c r="D311">
        <v>11912.0029296875</v>
      </c>
      <c r="E311">
        <v>21.684226989746001</v>
      </c>
    </row>
    <row r="312" spans="1:5" x14ac:dyDescent="0.25">
      <c r="A312">
        <v>4.3119993209838796</v>
      </c>
      <c r="B312">
        <v>6.7233757972717196</v>
      </c>
      <c r="C312">
        <f t="shared" si="4"/>
        <v>1.9722341396119794E-5</v>
      </c>
      <c r="D312">
        <v>11947.599609375</v>
      </c>
      <c r="E312">
        <v>21.683269500732401</v>
      </c>
    </row>
    <row r="313" spans="1:5" x14ac:dyDescent="0.25">
      <c r="A313">
        <v>4.3259997367858798</v>
      </c>
      <c r="B313">
        <v>6.7195620536804199</v>
      </c>
      <c r="C313">
        <f t="shared" si="4"/>
        <v>1.9898965611345597E-5</v>
      </c>
      <c r="D313">
        <v>11986.2998046875</v>
      </c>
      <c r="E313">
        <v>21.684226989746001</v>
      </c>
    </row>
    <row r="314" spans="1:5" x14ac:dyDescent="0.25">
      <c r="A314">
        <v>4.3399996757507298</v>
      </c>
      <c r="B314">
        <v>6.7160053253173801</v>
      </c>
      <c r="C314">
        <f t="shared" si="4"/>
        <v>2.0065292995033212E-5</v>
      </c>
      <c r="D314">
        <v>12024.701171875</v>
      </c>
      <c r="E314">
        <v>21.683269500732401</v>
      </c>
    </row>
    <row r="315" spans="1:5" x14ac:dyDescent="0.25">
      <c r="A315">
        <v>4.35399961471557</v>
      </c>
      <c r="B315">
        <v>6.7122836112976003</v>
      </c>
      <c r="C315">
        <f t="shared" si="4"/>
        <v>2.0240698127166763E-5</v>
      </c>
      <c r="D315">
        <v>12069.2998046875</v>
      </c>
      <c r="E315">
        <v>21.682949066162099</v>
      </c>
    </row>
    <row r="316" spans="1:5" x14ac:dyDescent="0.25">
      <c r="A316">
        <v>4.3679995536804199</v>
      </c>
      <c r="B316">
        <v>6.7087273597717196</v>
      </c>
      <c r="C316">
        <f t="shared" si="4"/>
        <v>2.0409858770395244E-5</v>
      </c>
      <c r="D316">
        <v>12102.50390625</v>
      </c>
      <c r="E316">
        <v>21.683269500732401</v>
      </c>
    </row>
    <row r="317" spans="1:5" x14ac:dyDescent="0.25">
      <c r="A317">
        <v>4.3819994926452601</v>
      </c>
      <c r="B317">
        <v>6.7046051025390598</v>
      </c>
      <c r="C317">
        <f t="shared" si="4"/>
        <v>2.0607272271293145E-5</v>
      </c>
      <c r="D317">
        <v>12141.099609375</v>
      </c>
      <c r="E317">
        <v>21.684545516967699</v>
      </c>
    </row>
    <row r="318" spans="1:5" x14ac:dyDescent="0.25">
      <c r="A318">
        <v>4.3959994316101003</v>
      </c>
      <c r="B318">
        <v>6.7006354331970197</v>
      </c>
      <c r="C318">
        <f t="shared" si="4"/>
        <v>2.0799285829359183E-5</v>
      </c>
      <c r="D318">
        <v>12180.5029296875</v>
      </c>
      <c r="E318">
        <v>21.683269500732401</v>
      </c>
    </row>
    <row r="319" spans="1:5" x14ac:dyDescent="0.25">
      <c r="A319">
        <v>4.4099993705749503</v>
      </c>
      <c r="B319">
        <v>6.6974716186523402</v>
      </c>
      <c r="C319">
        <f t="shared" si="4"/>
        <v>2.0954170554677873E-5</v>
      </c>
      <c r="D319">
        <v>12224.302734375</v>
      </c>
      <c r="E319">
        <v>21.684545516967699</v>
      </c>
    </row>
    <row r="320" spans="1:5" x14ac:dyDescent="0.25">
      <c r="A320">
        <v>4.4239997863769496</v>
      </c>
      <c r="B320">
        <v>6.6926374435424796</v>
      </c>
      <c r="C320">
        <f t="shared" si="4"/>
        <v>2.1191557679270504E-5</v>
      </c>
      <c r="D320">
        <v>12253</v>
      </c>
      <c r="E320">
        <v>21.684545516967699</v>
      </c>
    </row>
    <row r="321" spans="1:5" x14ac:dyDescent="0.25">
      <c r="A321">
        <v>4.4379997253417898</v>
      </c>
      <c r="B321">
        <v>6.6869478225707999</v>
      </c>
      <c r="C321">
        <f t="shared" si="4"/>
        <v>2.1473889931826178E-5</v>
      </c>
      <c r="D321">
        <v>12277.6005859375</v>
      </c>
      <c r="E321">
        <v>21.685823440551701</v>
      </c>
    </row>
    <row r="322" spans="1:5" x14ac:dyDescent="0.25">
      <c r="A322">
        <v>4.4519996643066397</v>
      </c>
      <c r="B322">
        <v>6.6811246871948198</v>
      </c>
      <c r="C322">
        <f t="shared" si="4"/>
        <v>2.1766673930286517E-5</v>
      </c>
      <c r="D322">
        <v>12308.3994140625</v>
      </c>
      <c r="E322">
        <v>21.687099456787099</v>
      </c>
    </row>
    <row r="323" spans="1:5" x14ac:dyDescent="0.25">
      <c r="A323">
        <v>4.4659996032714799</v>
      </c>
      <c r="B323">
        <v>6.6755890846252397</v>
      </c>
      <c r="C323">
        <f t="shared" si="4"/>
        <v>2.2048846785928316E-5</v>
      </c>
      <c r="D323">
        <v>12337.9013671875</v>
      </c>
      <c r="E323">
        <v>21.686780929565401</v>
      </c>
    </row>
    <row r="324" spans="1:5" x14ac:dyDescent="0.25">
      <c r="A324">
        <v>4.4799995422363201</v>
      </c>
      <c r="B324">
        <v>6.6709084510803196</v>
      </c>
      <c r="C324">
        <f t="shared" si="4"/>
        <v>2.2290751531781958E-5</v>
      </c>
      <c r="D324">
        <v>12377.2001953125</v>
      </c>
      <c r="E324">
        <v>21.685823440551701</v>
      </c>
    </row>
    <row r="325" spans="1:5" x14ac:dyDescent="0.25">
      <c r="A325">
        <v>4.4939994812011701</v>
      </c>
      <c r="B325">
        <v>6.6679596900939897</v>
      </c>
      <c r="C325">
        <f t="shared" ref="C325:C388" si="5">(10^-B325)*(100+A325)</f>
        <v>2.2445622883393979E-5</v>
      </c>
      <c r="D325">
        <v>12422.19921875</v>
      </c>
      <c r="E325">
        <v>21.684545516967699</v>
      </c>
    </row>
    <row r="326" spans="1:5" x14ac:dyDescent="0.25">
      <c r="A326">
        <v>4.5079994201660103</v>
      </c>
      <c r="B326">
        <v>6.6639223098754803</v>
      </c>
      <c r="C326">
        <f t="shared" si="5"/>
        <v>2.2658294870267291E-5</v>
      </c>
      <c r="D326">
        <v>12454.2998046875</v>
      </c>
      <c r="E326">
        <v>21.689653396606399</v>
      </c>
    </row>
    <row r="327" spans="1:5" x14ac:dyDescent="0.25">
      <c r="A327">
        <v>4.5219993591308496</v>
      </c>
      <c r="B327">
        <v>6.6583333015441797</v>
      </c>
      <c r="C327">
        <f t="shared" si="5"/>
        <v>2.295484724355245E-5</v>
      </c>
      <c r="D327">
        <v>12482.6044921875</v>
      </c>
      <c r="E327">
        <v>21.673053741455</v>
      </c>
    </row>
    <row r="328" spans="1:5" x14ac:dyDescent="0.25">
      <c r="A328">
        <v>4.5359992980956996</v>
      </c>
      <c r="B328">
        <v>6.6547160148620597</v>
      </c>
      <c r="C328">
        <f t="shared" si="5"/>
        <v>2.3149939496958635E-5</v>
      </c>
      <c r="D328">
        <v>12528.2021484375</v>
      </c>
      <c r="E328">
        <v>21.6880569458007</v>
      </c>
    </row>
    <row r="329" spans="1:5" x14ac:dyDescent="0.25">
      <c r="A329">
        <v>4.5499997138976997</v>
      </c>
      <c r="B329">
        <v>6.65252256393432</v>
      </c>
      <c r="C329">
        <f t="shared" si="5"/>
        <v>2.3270272662389089E-5</v>
      </c>
      <c r="D329">
        <v>12579.3994140625</v>
      </c>
      <c r="E329">
        <v>21.690610885620099</v>
      </c>
    </row>
    <row r="330" spans="1:5" x14ac:dyDescent="0.25">
      <c r="A330">
        <v>4.5639996528625399</v>
      </c>
      <c r="B330">
        <v>6.6485748291015598</v>
      </c>
      <c r="C330">
        <f t="shared" si="5"/>
        <v>2.3485908139109204E-5</v>
      </c>
      <c r="D330">
        <v>12610.404296875</v>
      </c>
      <c r="E330">
        <v>21.690931320190401</v>
      </c>
    </row>
    <row r="331" spans="1:5" x14ac:dyDescent="0.25">
      <c r="A331">
        <v>4.5779995918273899</v>
      </c>
      <c r="B331">
        <v>6.6434011459350497</v>
      </c>
      <c r="C331">
        <f t="shared" si="5"/>
        <v>2.3770547470791135E-5</v>
      </c>
      <c r="D331">
        <v>12637.6005859375</v>
      </c>
      <c r="E331">
        <v>21.6922073364257</v>
      </c>
    </row>
    <row r="332" spans="1:5" x14ac:dyDescent="0.25">
      <c r="A332">
        <v>4.5919995307922301</v>
      </c>
      <c r="B332">
        <v>6.6371960639953604</v>
      </c>
      <c r="C332">
        <f t="shared" si="5"/>
        <v>2.4115840436698912E-5</v>
      </c>
      <c r="D332">
        <v>12664.30078125</v>
      </c>
      <c r="E332">
        <v>21.6922073364257</v>
      </c>
    </row>
    <row r="333" spans="1:5" x14ac:dyDescent="0.25">
      <c r="A333">
        <v>4.6059994697570801</v>
      </c>
      <c r="B333">
        <v>6.6305265426635698</v>
      </c>
      <c r="C333">
        <f t="shared" si="5"/>
        <v>2.4492327088031948E-5</v>
      </c>
      <c r="D333">
        <v>12683.5</v>
      </c>
      <c r="E333">
        <v>21.6922073364257</v>
      </c>
    </row>
    <row r="334" spans="1:5" x14ac:dyDescent="0.25">
      <c r="A334">
        <v>4.6199994087219203</v>
      </c>
      <c r="B334">
        <v>6.62723636627197</v>
      </c>
      <c r="C334">
        <f t="shared" si="5"/>
        <v>2.4681886277902738E-5</v>
      </c>
      <c r="D334">
        <v>12743.3994140625</v>
      </c>
      <c r="E334">
        <v>21.689653396606399</v>
      </c>
    </row>
    <row r="335" spans="1:5" x14ac:dyDescent="0.25">
      <c r="A335">
        <v>4.6339993476867596</v>
      </c>
      <c r="B335">
        <v>6.6251878738403303</v>
      </c>
      <c r="C335">
        <f t="shared" si="5"/>
        <v>2.4801899965679361E-5</v>
      </c>
      <c r="D335">
        <v>12789.203125</v>
      </c>
      <c r="E335">
        <v>21.6931648254394</v>
      </c>
    </row>
    <row r="336" spans="1:5" x14ac:dyDescent="0.25">
      <c r="A336">
        <v>4.6479997634887598</v>
      </c>
      <c r="B336">
        <v>6.6209301948547301</v>
      </c>
      <c r="C336">
        <f t="shared" si="5"/>
        <v>2.504959662641929E-5</v>
      </c>
      <c r="D336">
        <v>12821.9990234375</v>
      </c>
      <c r="E336">
        <v>21.6922073364257</v>
      </c>
    </row>
    <row r="337" spans="1:5" x14ac:dyDescent="0.25">
      <c r="A337">
        <v>4.6619997024536097</v>
      </c>
      <c r="B337">
        <v>6.61535549163818</v>
      </c>
      <c r="C337">
        <f t="shared" si="5"/>
        <v>2.5376605986760967E-5</v>
      </c>
      <c r="D337">
        <v>12849.2060546875</v>
      </c>
      <c r="E337">
        <v>21.694442749023398</v>
      </c>
    </row>
    <row r="338" spans="1:5" x14ac:dyDescent="0.25">
      <c r="A338">
        <v>4.6759996414184499</v>
      </c>
      <c r="B338">
        <v>6.6096458435058496</v>
      </c>
      <c r="C338">
        <f t="shared" si="5"/>
        <v>2.5715873073123191E-5</v>
      </c>
      <c r="D338">
        <v>12870</v>
      </c>
      <c r="E338">
        <v>21.6957187652587</v>
      </c>
    </row>
    <row r="339" spans="1:5" x14ac:dyDescent="0.25">
      <c r="A339">
        <v>4.6899995803832999</v>
      </c>
      <c r="B339">
        <v>6.6033458709716797</v>
      </c>
      <c r="C339">
        <f t="shared" si="5"/>
        <v>2.6095121728469657E-5</v>
      </c>
      <c r="D339">
        <v>12909.599609375</v>
      </c>
      <c r="E339">
        <v>21.693485260009702</v>
      </c>
    </row>
    <row r="340" spans="1:5" x14ac:dyDescent="0.25">
      <c r="A340">
        <v>4.7039995193481401</v>
      </c>
      <c r="B340">
        <v>6.5976967811584402</v>
      </c>
      <c r="C340">
        <f t="shared" si="5"/>
        <v>2.6440306799383212E-5</v>
      </c>
      <c r="D340">
        <v>12933.1005859375</v>
      </c>
      <c r="E340">
        <v>21.6931648254394</v>
      </c>
    </row>
    <row r="341" spans="1:5" x14ac:dyDescent="0.25">
      <c r="A341">
        <v>4.7179994583129803</v>
      </c>
      <c r="B341">
        <v>6.5907907485961896</v>
      </c>
      <c r="C341">
        <f t="shared" si="5"/>
        <v>2.6867706052171741E-5</v>
      </c>
      <c r="D341">
        <v>12955.9013671875</v>
      </c>
      <c r="E341">
        <v>21.693485260009702</v>
      </c>
    </row>
    <row r="342" spans="1:5" x14ac:dyDescent="0.25">
      <c r="A342">
        <v>4.7319993972778303</v>
      </c>
      <c r="B342">
        <v>6.5861120223998997</v>
      </c>
      <c r="C342">
        <f t="shared" si="5"/>
        <v>2.7162351948143489E-5</v>
      </c>
      <c r="D342">
        <v>13000.7041015625</v>
      </c>
      <c r="E342">
        <v>21.694442749023398</v>
      </c>
    </row>
    <row r="343" spans="1:5" x14ac:dyDescent="0.25">
      <c r="A343">
        <v>4.7459993362426696</v>
      </c>
      <c r="B343">
        <v>6.5814852714538503</v>
      </c>
      <c r="C343">
        <f t="shared" si="5"/>
        <v>2.7456942427669415E-5</v>
      </c>
      <c r="D343">
        <v>13028.5</v>
      </c>
      <c r="E343">
        <v>21.6957187652587</v>
      </c>
    </row>
    <row r="344" spans="1:5" x14ac:dyDescent="0.25">
      <c r="A344">
        <v>4.7599992752075098</v>
      </c>
      <c r="B344">
        <v>6.5747957229614196</v>
      </c>
      <c r="C344">
        <f t="shared" si="5"/>
        <v>2.7886869463908582E-5</v>
      </c>
      <c r="D344">
        <v>13054.5009765625</v>
      </c>
      <c r="E344">
        <v>21.696039199829102</v>
      </c>
    </row>
    <row r="345" spans="1:5" x14ac:dyDescent="0.25">
      <c r="A345">
        <v>4.7739996910095197</v>
      </c>
      <c r="B345">
        <v>6.5688066482543901</v>
      </c>
      <c r="C345">
        <f t="shared" si="5"/>
        <v>2.8277881807223311E-5</v>
      </c>
      <c r="D345">
        <v>13082.9990234375</v>
      </c>
      <c r="E345">
        <v>21.6957187652587</v>
      </c>
    </row>
    <row r="346" spans="1:5" x14ac:dyDescent="0.25">
      <c r="A346">
        <v>4.7879996299743599</v>
      </c>
      <c r="B346">
        <v>6.5623617172241202</v>
      </c>
      <c r="C346">
        <f t="shared" si="5"/>
        <v>2.8704489842409485E-5</v>
      </c>
      <c r="D346">
        <v>13103.904296875</v>
      </c>
      <c r="E346">
        <v>21.693485260009702</v>
      </c>
    </row>
    <row r="347" spans="1:5" x14ac:dyDescent="0.25">
      <c r="A347">
        <v>4.8019995689392001</v>
      </c>
      <c r="B347">
        <v>6.5553865432739196</v>
      </c>
      <c r="C347">
        <f t="shared" si="5"/>
        <v>2.9173129883989763E-5</v>
      </c>
      <c r="D347">
        <v>13120</v>
      </c>
      <c r="E347">
        <v>21.696039199829102</v>
      </c>
    </row>
    <row r="348" spans="1:5" x14ac:dyDescent="0.25">
      <c r="A348">
        <v>4.8159995079040501</v>
      </c>
      <c r="B348">
        <v>6.5474386215209899</v>
      </c>
      <c r="C348">
        <f t="shared" si="5"/>
        <v>2.9715904812722067E-5</v>
      </c>
      <c r="D348">
        <v>13156.4990234375</v>
      </c>
      <c r="E348">
        <v>21.6957187652587</v>
      </c>
    </row>
    <row r="349" spans="1:5" x14ac:dyDescent="0.25">
      <c r="A349">
        <v>4.8299994468688903</v>
      </c>
      <c r="B349">
        <v>6.54274129867553</v>
      </c>
      <c r="C349">
        <f t="shared" si="5"/>
        <v>3.0043068280358015E-5</v>
      </c>
      <c r="D349">
        <v>13191.2041015625</v>
      </c>
      <c r="E349">
        <v>21.6982727050781</v>
      </c>
    </row>
    <row r="350" spans="1:5" x14ac:dyDescent="0.25">
      <c r="A350">
        <v>4.8439993858337402</v>
      </c>
      <c r="B350">
        <v>6.5380692481994602</v>
      </c>
      <c r="C350">
        <f t="shared" si="5"/>
        <v>3.0372065724850512E-5</v>
      </c>
      <c r="D350">
        <v>13231.8994140625</v>
      </c>
      <c r="E350">
        <v>21.696039199829102</v>
      </c>
    </row>
    <row r="351" spans="1:5" x14ac:dyDescent="0.25">
      <c r="A351">
        <v>4.8579993247985804</v>
      </c>
      <c r="B351">
        <v>6.5324444770812899</v>
      </c>
      <c r="C351">
        <f t="shared" si="5"/>
        <v>3.0772096812016509E-5</v>
      </c>
      <c r="D351">
        <v>13252.703125</v>
      </c>
      <c r="E351">
        <v>21.698593139648398</v>
      </c>
    </row>
    <row r="352" spans="1:5" x14ac:dyDescent="0.25">
      <c r="A352">
        <v>4.8719997406005797</v>
      </c>
      <c r="B352">
        <v>6.5252909660339302</v>
      </c>
      <c r="C352">
        <f t="shared" si="5"/>
        <v>3.1287335797059227E-5</v>
      </c>
      <c r="D352">
        <v>13273.4052734375</v>
      </c>
      <c r="E352">
        <v>21.698593139648398</v>
      </c>
    </row>
    <row r="353" spans="1:5" x14ac:dyDescent="0.25">
      <c r="A353">
        <v>4.8859996795654297</v>
      </c>
      <c r="B353">
        <v>6.5178809165954501</v>
      </c>
      <c r="C353">
        <f t="shared" si="5"/>
        <v>3.1829997555750436E-5</v>
      </c>
      <c r="D353">
        <v>13288.0009765625</v>
      </c>
      <c r="E353">
        <v>21.699550628662099</v>
      </c>
    </row>
    <row r="354" spans="1:5" x14ac:dyDescent="0.25">
      <c r="A354">
        <v>4.8999996185302699</v>
      </c>
      <c r="B354">
        <v>6.5101695060729901</v>
      </c>
      <c r="C354">
        <f t="shared" si="5"/>
        <v>3.2404548935334122E-5</v>
      </c>
      <c r="D354">
        <v>13325.3037109375</v>
      </c>
      <c r="E354">
        <v>21.698593139648398</v>
      </c>
    </row>
    <row r="355" spans="1:5" x14ac:dyDescent="0.25">
      <c r="A355">
        <v>4.9139995574951101</v>
      </c>
      <c r="B355">
        <v>6.5038108825683496</v>
      </c>
      <c r="C355">
        <f t="shared" si="5"/>
        <v>3.2886871475282241E-5</v>
      </c>
      <c r="D355">
        <v>13347.5029296875</v>
      </c>
      <c r="E355">
        <v>21.699550628662099</v>
      </c>
    </row>
    <row r="356" spans="1:5" x14ac:dyDescent="0.25">
      <c r="A356">
        <v>4.92799949645996</v>
      </c>
      <c r="B356">
        <v>6.4969239234924299</v>
      </c>
      <c r="C356">
        <f t="shared" si="5"/>
        <v>3.3417000826949798E-5</v>
      </c>
      <c r="D356">
        <v>13364.3037109375</v>
      </c>
      <c r="E356">
        <v>21.698593139648398</v>
      </c>
    </row>
    <row r="357" spans="1:5" x14ac:dyDescent="0.25">
      <c r="A357">
        <v>4.9419994354248002</v>
      </c>
      <c r="B357">
        <v>6.4891037940979004</v>
      </c>
      <c r="C357">
        <f t="shared" si="5"/>
        <v>3.4028714285039069E-5</v>
      </c>
      <c r="D357">
        <v>13390.703125</v>
      </c>
      <c r="E357">
        <v>21.701147079467699</v>
      </c>
    </row>
    <row r="358" spans="1:5" x14ac:dyDescent="0.25">
      <c r="A358">
        <v>4.9559993743896396</v>
      </c>
      <c r="B358">
        <v>6.4832572937011701</v>
      </c>
      <c r="C358">
        <f t="shared" si="5"/>
        <v>3.4494509560398256E-5</v>
      </c>
      <c r="D358">
        <v>13431.2021484375</v>
      </c>
      <c r="E358">
        <v>21.699550628662099</v>
      </c>
    </row>
    <row r="359" spans="1:5" x14ac:dyDescent="0.25">
      <c r="A359">
        <v>4.9699993133544904</v>
      </c>
      <c r="B359">
        <v>6.4785161018371502</v>
      </c>
      <c r="C359">
        <f t="shared" si="5"/>
        <v>3.4877800767361787E-5</v>
      </c>
      <c r="D359">
        <v>13468.5986328125</v>
      </c>
      <c r="E359">
        <v>21.699550628662099</v>
      </c>
    </row>
    <row r="360" spans="1:5" x14ac:dyDescent="0.25">
      <c r="A360">
        <v>4.9839992523193297</v>
      </c>
      <c r="B360">
        <v>6.4732904434204102</v>
      </c>
      <c r="C360">
        <f t="shared" si="5"/>
        <v>3.530471169445503E-5</v>
      </c>
      <c r="D360">
        <v>13500.3017578125</v>
      </c>
      <c r="E360">
        <v>21.6998691558837</v>
      </c>
    </row>
    <row r="361" spans="1:5" x14ac:dyDescent="0.25">
      <c r="A361">
        <v>4.9979996681213299</v>
      </c>
      <c r="B361">
        <v>6.4669942855834899</v>
      </c>
      <c r="C361">
        <f t="shared" si="5"/>
        <v>3.582504460158221E-5</v>
      </c>
      <c r="D361">
        <v>13521.2041015625</v>
      </c>
      <c r="E361">
        <v>21.701147079467699</v>
      </c>
    </row>
    <row r="362" spans="1:5" x14ac:dyDescent="0.25">
      <c r="A362">
        <v>5.0119996070861799</v>
      </c>
      <c r="B362">
        <v>6.4593687057495099</v>
      </c>
      <c r="C362">
        <f t="shared" si="5"/>
        <v>3.6464496608419611E-5</v>
      </c>
      <c r="D362">
        <v>13541.80078125</v>
      </c>
      <c r="E362">
        <v>21.7024230957031</v>
      </c>
    </row>
    <row r="363" spans="1:5" x14ac:dyDescent="0.25">
      <c r="A363">
        <v>5.0259995460510201</v>
      </c>
      <c r="B363">
        <v>6.4518132209777797</v>
      </c>
      <c r="C363">
        <f t="shared" si="5"/>
        <v>3.7109371796727086E-5</v>
      </c>
      <c r="D363">
        <v>13567.4033203125</v>
      </c>
      <c r="E363">
        <v>21.7024230957031</v>
      </c>
    </row>
    <row r="364" spans="1:5" x14ac:dyDescent="0.25">
      <c r="A364">
        <v>5.0399994850158603</v>
      </c>
      <c r="B364">
        <v>6.4460854530334402</v>
      </c>
      <c r="C364">
        <f t="shared" si="5"/>
        <v>3.7607049169470152E-5</v>
      </c>
      <c r="D364">
        <v>13608.5986328125</v>
      </c>
      <c r="E364">
        <v>21.7046585083007</v>
      </c>
    </row>
    <row r="365" spans="1:5" x14ac:dyDescent="0.25">
      <c r="A365">
        <v>5.0539994239807102</v>
      </c>
      <c r="B365">
        <v>6.4409937858581499</v>
      </c>
      <c r="C365">
        <f t="shared" si="5"/>
        <v>3.8055620265395572E-5</v>
      </c>
      <c r="D365">
        <v>13645.8994140625</v>
      </c>
      <c r="E365">
        <v>21.7046585083007</v>
      </c>
    </row>
    <row r="366" spans="1:5" x14ac:dyDescent="0.25">
      <c r="A366">
        <v>5.0679993629455504</v>
      </c>
      <c r="B366">
        <v>6.4393754005432102</v>
      </c>
      <c r="C366">
        <f t="shared" si="5"/>
        <v>3.8202788334869549E-5</v>
      </c>
      <c r="D366">
        <v>13706.1005859375</v>
      </c>
      <c r="E366">
        <v>21.7046585083007</v>
      </c>
    </row>
    <row r="367" spans="1:5" x14ac:dyDescent="0.25">
      <c r="A367">
        <v>5.0819993019104004</v>
      </c>
      <c r="B367">
        <v>6.4352178573608398</v>
      </c>
      <c r="C367">
        <f t="shared" si="5"/>
        <v>3.8575402813727194E-5</v>
      </c>
      <c r="D367">
        <v>13744.7998046875</v>
      </c>
      <c r="E367">
        <v>21.7024230957031</v>
      </c>
    </row>
    <row r="368" spans="1:5" x14ac:dyDescent="0.25">
      <c r="A368">
        <v>5.0959997177123997</v>
      </c>
      <c r="B368">
        <v>6.43007469177246</v>
      </c>
      <c r="C368">
        <f t="shared" si="5"/>
        <v>3.9040151467179903E-5</v>
      </c>
      <c r="D368">
        <v>13774.1025390625</v>
      </c>
      <c r="E368">
        <v>21.7024230957031</v>
      </c>
    </row>
    <row r="369" spans="1:5" x14ac:dyDescent="0.25">
      <c r="A369">
        <v>5.1099996566772399</v>
      </c>
      <c r="B369">
        <v>6.42299461364746</v>
      </c>
      <c r="C369">
        <f t="shared" si="5"/>
        <v>3.9687105076201247E-5</v>
      </c>
      <c r="D369">
        <v>13796.7998046875</v>
      </c>
      <c r="E369">
        <v>21.703380584716701</v>
      </c>
    </row>
    <row r="370" spans="1:5" x14ac:dyDescent="0.25">
      <c r="A370">
        <v>5.1239995956420898</v>
      </c>
      <c r="B370">
        <v>6.4152975082397399</v>
      </c>
      <c r="C370">
        <f t="shared" si="5"/>
        <v>4.0402139855545788E-5</v>
      </c>
      <c r="D370">
        <v>13814.3037109375</v>
      </c>
      <c r="E370">
        <v>21.704977035522401</v>
      </c>
    </row>
    <row r="371" spans="1:5" x14ac:dyDescent="0.25">
      <c r="A371">
        <v>5.13799953460693</v>
      </c>
      <c r="B371">
        <v>6.4076695442199698</v>
      </c>
      <c r="C371">
        <f t="shared" si="5"/>
        <v>4.112350900123834E-5</v>
      </c>
      <c r="D371">
        <v>13852.2998046875</v>
      </c>
      <c r="E371">
        <v>21.7046585083007</v>
      </c>
    </row>
    <row r="372" spans="1:5" x14ac:dyDescent="0.25">
      <c r="A372">
        <v>5.1519994735717702</v>
      </c>
      <c r="B372">
        <v>6.4013104438781703</v>
      </c>
      <c r="C372">
        <f t="shared" si="5"/>
        <v>4.1735641320339634E-5</v>
      </c>
      <c r="D372">
        <v>13879.8994140625</v>
      </c>
      <c r="E372">
        <v>21.704977035522401</v>
      </c>
    </row>
    <row r="373" spans="1:5" x14ac:dyDescent="0.25">
      <c r="A373">
        <v>5.1659994125366202</v>
      </c>
      <c r="B373">
        <v>6.3942394256591797</v>
      </c>
      <c r="C373">
        <f t="shared" si="5"/>
        <v>4.2426375137410708E-5</v>
      </c>
      <c r="D373">
        <v>13903.1025390625</v>
      </c>
      <c r="E373">
        <v>21.704977035522401</v>
      </c>
    </row>
    <row r="374" spans="1:5" x14ac:dyDescent="0.25">
      <c r="A374">
        <v>5.1799993515014604</v>
      </c>
      <c r="B374">
        <v>6.3867378234863201</v>
      </c>
      <c r="C374">
        <f t="shared" si="5"/>
        <v>4.3171321245478099E-5</v>
      </c>
      <c r="D374">
        <v>13922.1015625</v>
      </c>
      <c r="E374">
        <v>21.706254959106399</v>
      </c>
    </row>
    <row r="375" spans="1:5" x14ac:dyDescent="0.25">
      <c r="A375">
        <v>5.1939992904662997</v>
      </c>
      <c r="B375">
        <v>6.3782324790954501</v>
      </c>
      <c r="C375">
        <f t="shared" si="5"/>
        <v>4.4030993763582767E-5</v>
      </c>
      <c r="D375">
        <v>13949.00390625</v>
      </c>
      <c r="E375">
        <v>21.704977035522401</v>
      </c>
    </row>
    <row r="376" spans="1:5" x14ac:dyDescent="0.25">
      <c r="A376">
        <v>5.2079992294311497</v>
      </c>
      <c r="B376">
        <v>6.3708229064941397</v>
      </c>
      <c r="C376">
        <f t="shared" si="5"/>
        <v>4.4794619827870384E-5</v>
      </c>
      <c r="D376">
        <v>13983.8994140625</v>
      </c>
      <c r="E376">
        <v>21.705934524536101</v>
      </c>
    </row>
    <row r="377" spans="1:5" x14ac:dyDescent="0.25">
      <c r="A377">
        <v>5.2219996452331499</v>
      </c>
      <c r="B377">
        <v>6.3642263412475497</v>
      </c>
      <c r="C377">
        <f t="shared" si="5"/>
        <v>4.5486257924955629E-5</v>
      </c>
      <c r="D377">
        <v>14008.703125</v>
      </c>
      <c r="E377">
        <v>21.705934524536101</v>
      </c>
    </row>
    <row r="378" spans="1:5" x14ac:dyDescent="0.25">
      <c r="A378">
        <v>5.2359995841979901</v>
      </c>
      <c r="B378">
        <v>6.3573231697082502</v>
      </c>
      <c r="C378">
        <f t="shared" si="5"/>
        <v>4.6221194078569991E-5</v>
      </c>
      <c r="D378">
        <v>14023.80078125</v>
      </c>
      <c r="E378">
        <v>21.707530975341701</v>
      </c>
    </row>
    <row r="379" spans="1:5" x14ac:dyDescent="0.25">
      <c r="A379">
        <v>5.24999952316284</v>
      </c>
      <c r="B379">
        <v>6.3484215736389098</v>
      </c>
      <c r="C379">
        <f t="shared" si="5"/>
        <v>4.7184627288109817E-5</v>
      </c>
      <c r="D379">
        <v>14068.5986328125</v>
      </c>
      <c r="E379">
        <v>21.7097663879394</v>
      </c>
    </row>
    <row r="380" spans="1:5" x14ac:dyDescent="0.25">
      <c r="A380">
        <v>5.2639994621276802</v>
      </c>
      <c r="B380">
        <v>6.3422617912292401</v>
      </c>
      <c r="C380">
        <f t="shared" si="5"/>
        <v>4.7865001361744427E-5</v>
      </c>
      <c r="D380">
        <v>14098.4033203125</v>
      </c>
      <c r="E380">
        <v>21.706254959106399</v>
      </c>
    </row>
    <row r="381" spans="1:5" x14ac:dyDescent="0.25">
      <c r="A381">
        <v>5.2779994010925204</v>
      </c>
      <c r="B381">
        <v>6.3351130485534597</v>
      </c>
      <c r="C381">
        <f t="shared" si="5"/>
        <v>4.8665879326184358E-5</v>
      </c>
      <c r="D381">
        <v>14119.1044921875</v>
      </c>
      <c r="E381">
        <v>21.7088088989257</v>
      </c>
    </row>
    <row r="382" spans="1:5" x14ac:dyDescent="0.25">
      <c r="A382">
        <v>5.2919993400573704</v>
      </c>
      <c r="B382">
        <v>6.3266510963439897</v>
      </c>
      <c r="C382">
        <f t="shared" si="5"/>
        <v>4.9630000095566381E-5</v>
      </c>
      <c r="D382">
        <v>14142.8037109375</v>
      </c>
      <c r="E382">
        <v>21.7088088989257</v>
      </c>
    </row>
    <row r="383" spans="1:5" x14ac:dyDescent="0.25">
      <c r="A383">
        <v>5.3059992790222097</v>
      </c>
      <c r="B383">
        <v>6.3186001777648899</v>
      </c>
      <c r="C383">
        <f t="shared" si="5"/>
        <v>5.0565340476846201E-5</v>
      </c>
      <c r="D383">
        <v>14159.80078125</v>
      </c>
      <c r="E383">
        <v>21.708488464355401</v>
      </c>
    </row>
    <row r="384" spans="1:5" x14ac:dyDescent="0.25">
      <c r="A384">
        <v>5.3199996948242099</v>
      </c>
      <c r="B384">
        <v>6.3090643882751403</v>
      </c>
      <c r="C384">
        <f t="shared" si="5"/>
        <v>5.1694752561140083E-5</v>
      </c>
      <c r="D384">
        <v>14179.7998046875</v>
      </c>
      <c r="E384">
        <v>21.707530975341701</v>
      </c>
    </row>
    <row r="385" spans="1:5" x14ac:dyDescent="0.25">
      <c r="A385">
        <v>5.3339996337890598</v>
      </c>
      <c r="B385">
        <v>6.3004183769226003</v>
      </c>
      <c r="C385">
        <f t="shared" si="5"/>
        <v>5.2741223226055488E-5</v>
      </c>
      <c r="D385">
        <v>14219.3994140625</v>
      </c>
      <c r="E385">
        <v>21.708488464355401</v>
      </c>
    </row>
    <row r="386" spans="1:5" x14ac:dyDescent="0.25">
      <c r="A386">
        <v>5.3479995727539</v>
      </c>
      <c r="B386">
        <v>6.2933602333068803</v>
      </c>
      <c r="C386">
        <f t="shared" si="5"/>
        <v>5.3612500093490776E-5</v>
      </c>
      <c r="D386">
        <v>14247.8037109375</v>
      </c>
      <c r="E386">
        <v>21.7097663879394</v>
      </c>
    </row>
    <row r="387" spans="1:5" x14ac:dyDescent="0.25">
      <c r="A387">
        <v>5.36199951171875</v>
      </c>
      <c r="B387">
        <v>6.2854709625244096</v>
      </c>
      <c r="C387">
        <f t="shared" si="5"/>
        <v>5.4602564601173726E-5</v>
      </c>
      <c r="D387">
        <v>14277.3994140625</v>
      </c>
      <c r="E387">
        <v>21.707530975341701</v>
      </c>
    </row>
    <row r="388" spans="1:5" x14ac:dyDescent="0.25">
      <c r="A388">
        <v>5.3759994506835902</v>
      </c>
      <c r="B388">
        <v>6.2799172401428196</v>
      </c>
      <c r="C388">
        <f t="shared" si="5"/>
        <v>5.5312650106602139E-5</v>
      </c>
      <c r="D388">
        <v>14333.9033203125</v>
      </c>
      <c r="E388">
        <v>21.708488464355401</v>
      </c>
    </row>
    <row r="389" spans="1:5" x14ac:dyDescent="0.25">
      <c r="A389">
        <v>5.3899993896484304</v>
      </c>
      <c r="B389">
        <v>6.27585697174072</v>
      </c>
      <c r="C389">
        <f t="shared" ref="C389:C452" si="6">(10^-B389)*(100+A389)</f>
        <v>5.5839616926165913E-5</v>
      </c>
      <c r="D389">
        <v>14382.6005859375</v>
      </c>
      <c r="E389">
        <v>21.7088088989257</v>
      </c>
    </row>
    <row r="390" spans="1:5" x14ac:dyDescent="0.25">
      <c r="A390">
        <v>5.4039993286132804</v>
      </c>
      <c r="B390">
        <v>6.2693500518798801</v>
      </c>
      <c r="C390">
        <f t="shared" si="6"/>
        <v>5.6690075799662399E-5</v>
      </c>
      <c r="D390">
        <v>14412.5986328125</v>
      </c>
      <c r="E390">
        <v>21.707530975341701</v>
      </c>
    </row>
    <row r="391" spans="1:5" x14ac:dyDescent="0.25">
      <c r="A391">
        <v>5.4179992675781197</v>
      </c>
      <c r="B391">
        <v>6.2616734504699698</v>
      </c>
      <c r="C391">
        <f t="shared" si="6"/>
        <v>5.7708703707137636E-5</v>
      </c>
      <c r="D391">
        <v>14438.3037109375</v>
      </c>
      <c r="E391">
        <v>21.708488464355401</v>
      </c>
    </row>
    <row r="392" spans="1:5" x14ac:dyDescent="0.25">
      <c r="A392">
        <v>5.4319992065429599</v>
      </c>
      <c r="B392">
        <v>6.2527761459350497</v>
      </c>
      <c r="C392">
        <f t="shared" si="6"/>
        <v>5.8910986561523464E-5</v>
      </c>
      <c r="D392">
        <v>14463.8037109375</v>
      </c>
      <c r="E392">
        <v>21.707530975341701</v>
      </c>
    </row>
    <row r="393" spans="1:5" x14ac:dyDescent="0.25">
      <c r="A393">
        <v>5.4459996223449698</v>
      </c>
      <c r="B393">
        <v>6.2468719482421804</v>
      </c>
      <c r="C393">
        <f t="shared" si="6"/>
        <v>5.9725275263698365E-5</v>
      </c>
      <c r="D393">
        <v>14523.9990234375</v>
      </c>
      <c r="E393">
        <v>21.708488464355401</v>
      </c>
    </row>
    <row r="394" spans="1:5" x14ac:dyDescent="0.25">
      <c r="A394">
        <v>5.45999956130981</v>
      </c>
      <c r="B394">
        <v>6.24049472808837</v>
      </c>
      <c r="C394">
        <f t="shared" si="6"/>
        <v>6.0616804347744433E-5</v>
      </c>
      <c r="D394">
        <v>14557.8994140625</v>
      </c>
      <c r="E394">
        <v>21.7097663879394</v>
      </c>
    </row>
    <row r="395" spans="1:5" x14ac:dyDescent="0.25">
      <c r="A395">
        <v>5.4739995002746502</v>
      </c>
      <c r="B395">
        <v>6.23294973373413</v>
      </c>
      <c r="C395">
        <f t="shared" si="6"/>
        <v>6.168728846165347E-5</v>
      </c>
      <c r="D395">
        <v>14595.9990234375</v>
      </c>
      <c r="E395">
        <v>21.7097663879394</v>
      </c>
    </row>
    <row r="396" spans="1:5" x14ac:dyDescent="0.25">
      <c r="A396">
        <v>5.4879994392395002</v>
      </c>
      <c r="B396">
        <v>6.2258048057556099</v>
      </c>
      <c r="C396">
        <f t="shared" si="6"/>
        <v>6.2718873643814008E-5</v>
      </c>
      <c r="D396">
        <v>14619.6005859375</v>
      </c>
      <c r="E396">
        <v>21.7088088989257</v>
      </c>
    </row>
    <row r="397" spans="1:5" x14ac:dyDescent="0.25">
      <c r="A397">
        <v>5.5019993782043404</v>
      </c>
      <c r="B397">
        <v>6.2167572975158603</v>
      </c>
      <c r="C397">
        <f t="shared" si="6"/>
        <v>6.4047678472212865E-5</v>
      </c>
      <c r="D397">
        <v>14654.9990234375</v>
      </c>
      <c r="E397">
        <v>21.7097663879394</v>
      </c>
    </row>
    <row r="398" spans="1:5" x14ac:dyDescent="0.25">
      <c r="A398">
        <v>5.5159993171691797</v>
      </c>
      <c r="B398">
        <v>6.20755815505981</v>
      </c>
      <c r="C398">
        <f t="shared" si="6"/>
        <v>6.5427475174489243E-5</v>
      </c>
      <c r="D398">
        <v>14681.4013671875</v>
      </c>
      <c r="E398">
        <v>21.707530975341701</v>
      </c>
    </row>
    <row r="399" spans="1:5" x14ac:dyDescent="0.25">
      <c r="A399">
        <v>5.5299992561340297</v>
      </c>
      <c r="B399">
        <v>6.1985416412353498</v>
      </c>
      <c r="C399">
        <f t="shared" si="6"/>
        <v>6.6808895790125198E-5</v>
      </c>
      <c r="D399">
        <v>14706.5048828125</v>
      </c>
      <c r="E399">
        <v>21.708488464355401</v>
      </c>
    </row>
    <row r="400" spans="1:5" x14ac:dyDescent="0.25">
      <c r="A400">
        <v>5.5439996719360298</v>
      </c>
      <c r="B400">
        <v>6.1885027885437003</v>
      </c>
      <c r="C400">
        <f t="shared" si="6"/>
        <v>6.8380261853059343E-5</v>
      </c>
      <c r="D400">
        <v>14731.4052734375</v>
      </c>
      <c r="E400">
        <v>21.7088088989257</v>
      </c>
    </row>
    <row r="401" spans="1:5" x14ac:dyDescent="0.25">
      <c r="A401">
        <v>5.55799961090087</v>
      </c>
      <c r="B401">
        <v>6.17909479141235</v>
      </c>
      <c r="C401">
        <f t="shared" si="6"/>
        <v>6.9886993870067057E-5</v>
      </c>
      <c r="D401">
        <v>14771.1005859375</v>
      </c>
      <c r="E401">
        <v>21.7097663879394</v>
      </c>
    </row>
    <row r="402" spans="1:5" x14ac:dyDescent="0.25">
      <c r="A402">
        <v>5.57199954986572</v>
      </c>
      <c r="B402">
        <v>6.1700839996337802</v>
      </c>
      <c r="C402">
        <f t="shared" si="6"/>
        <v>7.1361627736529448E-5</v>
      </c>
      <c r="D402">
        <v>14795.1005859375</v>
      </c>
      <c r="E402">
        <v>21.7088088989257</v>
      </c>
    </row>
    <row r="403" spans="1:5" x14ac:dyDescent="0.25">
      <c r="A403">
        <v>5.5859994888305602</v>
      </c>
      <c r="B403">
        <v>6.1600136756896902</v>
      </c>
      <c r="C403">
        <f t="shared" si="6"/>
        <v>7.30453643480275E-5</v>
      </c>
      <c r="D403">
        <v>14821.703125</v>
      </c>
      <c r="E403">
        <v>21.7088088989257</v>
      </c>
    </row>
    <row r="404" spans="1:5" x14ac:dyDescent="0.25">
      <c r="A404">
        <v>5.5999994277954102</v>
      </c>
      <c r="B404">
        <v>6.1501450538635201</v>
      </c>
      <c r="C404">
        <f t="shared" si="6"/>
        <v>7.4734109149375512E-5</v>
      </c>
      <c r="D404">
        <v>14850.5986328125</v>
      </c>
      <c r="E404">
        <v>21.711042404174801</v>
      </c>
    </row>
    <row r="405" spans="1:5" x14ac:dyDescent="0.25">
      <c r="A405">
        <v>5.6139993667602504</v>
      </c>
      <c r="B405">
        <v>6.1400957107543901</v>
      </c>
      <c r="C405">
        <f t="shared" si="6"/>
        <v>7.6493719320089971E-5</v>
      </c>
      <c r="D405">
        <v>14876.9052734375</v>
      </c>
      <c r="E405">
        <v>21.711042404174801</v>
      </c>
    </row>
    <row r="406" spans="1:5" x14ac:dyDescent="0.25">
      <c r="A406">
        <v>5.6279993057250897</v>
      </c>
      <c r="B406">
        <v>6.1295862197875897</v>
      </c>
      <c r="C406">
        <f t="shared" si="6"/>
        <v>7.8377757608195402E-5</v>
      </c>
      <c r="D406">
        <v>14897.0029296875</v>
      </c>
      <c r="E406">
        <v>21.708488464355401</v>
      </c>
    </row>
    <row r="407" spans="1:5" x14ac:dyDescent="0.25">
      <c r="A407">
        <v>5.6419992446899396</v>
      </c>
      <c r="B407">
        <v>6.1182479858398402</v>
      </c>
      <c r="C407">
        <f t="shared" si="6"/>
        <v>8.04615928284471E-5</v>
      </c>
      <c r="D407">
        <v>14922.5029296875</v>
      </c>
      <c r="E407">
        <v>21.7123203277587</v>
      </c>
    </row>
    <row r="408" spans="1:5" x14ac:dyDescent="0.25">
      <c r="A408">
        <v>5.6559991836547798</v>
      </c>
      <c r="B408">
        <v>6.1068825721740696</v>
      </c>
      <c r="C408">
        <f t="shared" si="6"/>
        <v>8.2605999298854466E-5</v>
      </c>
      <c r="D408">
        <v>14955.5986328125</v>
      </c>
      <c r="E408">
        <v>21.7097663879394</v>
      </c>
    </row>
    <row r="409" spans="1:5" x14ac:dyDescent="0.25">
      <c r="A409">
        <v>5.66999959945678</v>
      </c>
      <c r="B409">
        <v>6.0963349342346103</v>
      </c>
      <c r="C409">
        <f t="shared" si="6"/>
        <v>8.4648013675511183E-5</v>
      </c>
      <c r="D409">
        <v>14981.7998046875</v>
      </c>
      <c r="E409">
        <v>21.7123203277587</v>
      </c>
    </row>
    <row r="410" spans="1:5" x14ac:dyDescent="0.25">
      <c r="A410">
        <v>5.68399953842163</v>
      </c>
      <c r="B410">
        <v>6.08518362045288</v>
      </c>
      <c r="C410">
        <f t="shared" si="6"/>
        <v>8.6861159025449839E-5</v>
      </c>
      <c r="D410">
        <v>15012.1005859375</v>
      </c>
      <c r="E410">
        <v>21.712638854980401</v>
      </c>
    </row>
    <row r="411" spans="1:5" x14ac:dyDescent="0.25">
      <c r="A411">
        <v>5.6979994773864702</v>
      </c>
      <c r="B411">
        <v>6.0737452507018999</v>
      </c>
      <c r="C411">
        <f t="shared" si="6"/>
        <v>8.9191099331808777E-5</v>
      </c>
      <c r="D411">
        <v>15038.6044921875</v>
      </c>
      <c r="E411">
        <v>21.7097663879394</v>
      </c>
    </row>
    <row r="412" spans="1:5" x14ac:dyDescent="0.25">
      <c r="A412">
        <v>5.7119994163513104</v>
      </c>
      <c r="B412">
        <v>6.0628685951232901</v>
      </c>
      <c r="C412">
        <f t="shared" si="6"/>
        <v>9.1465158634726902E-5</v>
      </c>
      <c r="D412">
        <v>15064.7041015625</v>
      </c>
      <c r="E412">
        <v>21.712638854980401</v>
      </c>
    </row>
    <row r="413" spans="1:5" x14ac:dyDescent="0.25">
      <c r="A413">
        <v>5.7259993553161603</v>
      </c>
      <c r="B413">
        <v>6.05149173736572</v>
      </c>
      <c r="C413">
        <f t="shared" si="6"/>
        <v>9.3905290722196902E-5</v>
      </c>
      <c r="D413">
        <v>15086.80078125</v>
      </c>
      <c r="E413">
        <v>21.7097663879394</v>
      </c>
    </row>
    <row r="414" spans="1:5" x14ac:dyDescent="0.25">
      <c r="A414">
        <v>5.7399992942809996</v>
      </c>
      <c r="B414">
        <v>6.0383372306823704</v>
      </c>
      <c r="C414">
        <f t="shared" si="6"/>
        <v>9.6805954735905967E-5</v>
      </c>
      <c r="D414">
        <v>15128.19921875</v>
      </c>
      <c r="E414">
        <v>21.7123203277587</v>
      </c>
    </row>
    <row r="415" spans="1:5" x14ac:dyDescent="0.25">
      <c r="A415">
        <v>5.7539992332458496</v>
      </c>
      <c r="B415">
        <v>6.02774906158447</v>
      </c>
      <c r="C415">
        <f t="shared" si="6"/>
        <v>9.9208238423929989E-5</v>
      </c>
      <c r="D415">
        <v>15166.2998046875</v>
      </c>
      <c r="E415">
        <v>21.711362838745099</v>
      </c>
    </row>
    <row r="416" spans="1:5" x14ac:dyDescent="0.25">
      <c r="A416">
        <v>5.7679996490478498</v>
      </c>
      <c r="B416">
        <v>6.0165143013000399</v>
      </c>
      <c r="C416">
        <f t="shared" si="6"/>
        <v>1.0182161695728357E-4</v>
      </c>
      <c r="D416">
        <v>15194.7001953125</v>
      </c>
      <c r="E416">
        <v>21.711362838745099</v>
      </c>
    </row>
    <row r="417" spans="1:5" x14ac:dyDescent="0.25">
      <c r="A417">
        <v>5.78199958801269</v>
      </c>
      <c r="B417">
        <v>6.0047369003295898</v>
      </c>
      <c r="C417">
        <f t="shared" si="6"/>
        <v>1.0463449241179049E-4</v>
      </c>
      <c r="D417">
        <v>15218.60546875</v>
      </c>
      <c r="E417">
        <v>21.712638854980401</v>
      </c>
    </row>
    <row r="418" spans="1:5" x14ac:dyDescent="0.25">
      <c r="A418">
        <v>5.7959995269775302</v>
      </c>
      <c r="B418">
        <v>5.9911007881164497</v>
      </c>
      <c r="C418">
        <f t="shared" si="6"/>
        <v>1.0798624951118022E-4</v>
      </c>
      <c r="D418">
        <v>15248.3994140625</v>
      </c>
      <c r="E418">
        <v>21.712638854980401</v>
      </c>
    </row>
    <row r="419" spans="1:5" x14ac:dyDescent="0.25">
      <c r="A419">
        <v>5.8099994659423801</v>
      </c>
      <c r="B419">
        <v>5.97783946990966</v>
      </c>
      <c r="C419">
        <f t="shared" si="6"/>
        <v>1.1134923618663058E-4</v>
      </c>
      <c r="D419">
        <v>15285.5986328125</v>
      </c>
      <c r="E419">
        <v>21.7139167785644</v>
      </c>
    </row>
    <row r="420" spans="1:5" x14ac:dyDescent="0.25">
      <c r="A420">
        <v>5.8239994049072203</v>
      </c>
      <c r="B420">
        <v>5.9654016494750897</v>
      </c>
      <c r="C420">
        <f t="shared" si="6"/>
        <v>1.1459944683357129E-4</v>
      </c>
      <c r="D420">
        <v>15311.3037109375</v>
      </c>
      <c r="E420">
        <v>21.7148742675781</v>
      </c>
    </row>
    <row r="421" spans="1:5" x14ac:dyDescent="0.25">
      <c r="A421">
        <v>5.8379993438720703</v>
      </c>
      <c r="B421">
        <v>5.9514122009277299</v>
      </c>
      <c r="C421">
        <f t="shared" si="6"/>
        <v>1.1836666755981388E-4</v>
      </c>
      <c r="D421">
        <v>15347.19921875</v>
      </c>
      <c r="E421">
        <v>21.7139167785644</v>
      </c>
    </row>
    <row r="422" spans="1:5" x14ac:dyDescent="0.25">
      <c r="A422">
        <v>5.8519992828369096</v>
      </c>
      <c r="B422">
        <v>5.93798828125</v>
      </c>
      <c r="C422">
        <f t="shared" si="6"/>
        <v>1.2209862801366032E-4</v>
      </c>
      <c r="D422">
        <v>15381.2060546875</v>
      </c>
      <c r="E422">
        <v>21.712638854980401</v>
      </c>
    </row>
    <row r="423" spans="1:5" x14ac:dyDescent="0.25">
      <c r="A423">
        <v>5.8659992218017498</v>
      </c>
      <c r="B423">
        <v>5.9251437187194798</v>
      </c>
      <c r="C423">
        <f t="shared" si="6"/>
        <v>1.2578034518898954E-4</v>
      </c>
      <c r="D423">
        <v>15432.9990234375</v>
      </c>
      <c r="E423">
        <v>21.715192794799801</v>
      </c>
    </row>
    <row r="424" spans="1:5" x14ac:dyDescent="0.25">
      <c r="A424">
        <v>5.8799991607665998</v>
      </c>
      <c r="B424">
        <v>5.9128332138061497</v>
      </c>
      <c r="C424">
        <f t="shared" si="6"/>
        <v>1.2941383746368847E-4</v>
      </c>
      <c r="D424">
        <v>15462.8994140625</v>
      </c>
      <c r="E424">
        <v>21.7139167785644</v>
      </c>
    </row>
    <row r="425" spans="1:5" x14ac:dyDescent="0.25">
      <c r="A425">
        <v>5.8939995765686</v>
      </c>
      <c r="B425">
        <v>5.8986434936523402</v>
      </c>
      <c r="C425">
        <f t="shared" si="6"/>
        <v>1.3372969623120856E-4</v>
      </c>
      <c r="D425">
        <v>15490.0009765625</v>
      </c>
      <c r="E425">
        <v>21.7148742675781</v>
      </c>
    </row>
    <row r="426" spans="1:5" x14ac:dyDescent="0.25">
      <c r="A426">
        <v>5.9079995155334402</v>
      </c>
      <c r="B426">
        <v>5.8818917274475098</v>
      </c>
      <c r="C426">
        <f t="shared" si="6"/>
        <v>1.3900711736484307E-4</v>
      </c>
      <c r="D426">
        <v>15535.2998046875</v>
      </c>
      <c r="E426">
        <v>21.7139167785644</v>
      </c>
    </row>
    <row r="427" spans="1:5" x14ac:dyDescent="0.25">
      <c r="A427">
        <v>5.9219994544982901</v>
      </c>
      <c r="B427">
        <v>5.8677196502685502</v>
      </c>
      <c r="C427">
        <f t="shared" si="6"/>
        <v>1.4363706418143928E-4</v>
      </c>
      <c r="D427">
        <v>15570.2041015625</v>
      </c>
      <c r="E427">
        <v>21.7139167785644</v>
      </c>
    </row>
    <row r="428" spans="1:5" x14ac:dyDescent="0.25">
      <c r="A428">
        <v>5.9359993934631303</v>
      </c>
      <c r="B428">
        <v>5.8523244857787997</v>
      </c>
      <c r="C428">
        <f t="shared" si="6"/>
        <v>1.4883980154052739E-4</v>
      </c>
      <c r="D428">
        <v>15603.3017578125</v>
      </c>
      <c r="E428">
        <v>21.7148742675781</v>
      </c>
    </row>
    <row r="429" spans="1:5" x14ac:dyDescent="0.25">
      <c r="A429">
        <v>5.9499993324279696</v>
      </c>
      <c r="B429">
        <v>5.8360357284545898</v>
      </c>
      <c r="C429">
        <f t="shared" si="6"/>
        <v>1.5454865500039158E-4</v>
      </c>
      <c r="D429">
        <v>15635.19921875</v>
      </c>
      <c r="E429">
        <v>21.7139167785644</v>
      </c>
    </row>
    <row r="430" spans="1:5" x14ac:dyDescent="0.25">
      <c r="A430">
        <v>5.9639992713928196</v>
      </c>
      <c r="B430">
        <v>5.81927013397216</v>
      </c>
      <c r="C430">
        <f t="shared" si="6"/>
        <v>1.6065276589026113E-4</v>
      </c>
      <c r="D430">
        <v>15669.2998046875</v>
      </c>
      <c r="E430">
        <v>21.7148742675781</v>
      </c>
    </row>
    <row r="431" spans="1:5" x14ac:dyDescent="0.25">
      <c r="A431">
        <v>5.9779992103576598</v>
      </c>
      <c r="B431">
        <v>5.8012638092040998</v>
      </c>
      <c r="C431">
        <f t="shared" si="6"/>
        <v>1.6747574056287119E-4</v>
      </c>
      <c r="D431">
        <v>15708.3994140625</v>
      </c>
      <c r="E431">
        <v>21.7148742675781</v>
      </c>
    </row>
    <row r="432" spans="1:5" x14ac:dyDescent="0.25">
      <c r="A432">
        <v>5.99199962615966</v>
      </c>
      <c r="B432">
        <v>5.7846126556396396</v>
      </c>
      <c r="C432">
        <f t="shared" si="6"/>
        <v>1.7404455060157561E-4</v>
      </c>
      <c r="D432">
        <v>15736.5</v>
      </c>
      <c r="E432">
        <v>21.716150283813398</v>
      </c>
    </row>
    <row r="433" spans="1:5" x14ac:dyDescent="0.25">
      <c r="A433">
        <v>6.0059995651245099</v>
      </c>
      <c r="B433">
        <v>5.7645916938781703</v>
      </c>
      <c r="C433">
        <f t="shared" si="6"/>
        <v>1.8227988739269563E-4</v>
      </c>
      <c r="D433">
        <v>15773.9990234375</v>
      </c>
      <c r="E433">
        <v>21.7148742675781</v>
      </c>
    </row>
    <row r="434" spans="1:5" x14ac:dyDescent="0.25">
      <c r="A434">
        <v>6.0199995040893501</v>
      </c>
      <c r="B434">
        <v>5.7463703155517498</v>
      </c>
      <c r="C434">
        <f t="shared" si="6"/>
        <v>1.9011548084192794E-4</v>
      </c>
      <c r="D434">
        <v>15803.19921875</v>
      </c>
      <c r="E434">
        <v>21.715192794799801</v>
      </c>
    </row>
    <row r="435" spans="1:5" x14ac:dyDescent="0.25">
      <c r="A435">
        <v>6.0339994430541903</v>
      </c>
      <c r="B435">
        <v>5.7245283126831001</v>
      </c>
      <c r="C435">
        <f t="shared" si="6"/>
        <v>1.9994789206037318E-4</v>
      </c>
      <c r="D435">
        <v>15846.1005859375</v>
      </c>
      <c r="E435">
        <v>21.717428207397401</v>
      </c>
    </row>
    <row r="436" spans="1:5" x14ac:dyDescent="0.25">
      <c r="A436">
        <v>6.0479993820190403</v>
      </c>
      <c r="B436">
        <v>5.7056217193603498</v>
      </c>
      <c r="C436">
        <f t="shared" si="6"/>
        <v>2.0887225743980288E-4</v>
      </c>
      <c r="D436">
        <v>15877.5</v>
      </c>
      <c r="E436">
        <v>21.7190246582031</v>
      </c>
    </row>
    <row r="437" spans="1:5" x14ac:dyDescent="0.25">
      <c r="A437">
        <v>6.0619993209838796</v>
      </c>
      <c r="B437">
        <v>5.6827445030212402</v>
      </c>
      <c r="C437">
        <f t="shared" si="6"/>
        <v>2.2019898182064462E-4</v>
      </c>
      <c r="D437">
        <v>15917.5</v>
      </c>
      <c r="E437">
        <v>21.717428207397401</v>
      </c>
    </row>
    <row r="438" spans="1:5" x14ac:dyDescent="0.25">
      <c r="A438">
        <v>6.0759992599487296</v>
      </c>
      <c r="B438">
        <v>5.6614108085632298</v>
      </c>
      <c r="C438">
        <f t="shared" si="6"/>
        <v>2.3131634584844289E-4</v>
      </c>
      <c r="D438">
        <v>15962.3994140625</v>
      </c>
      <c r="E438">
        <v>21.720300674438398</v>
      </c>
    </row>
    <row r="439" spans="1:5" x14ac:dyDescent="0.25">
      <c r="A439">
        <v>6.0899991989135698</v>
      </c>
      <c r="B439">
        <v>5.6390604972839302</v>
      </c>
      <c r="C439">
        <f t="shared" si="6"/>
        <v>2.4356447730879225E-4</v>
      </c>
      <c r="D439">
        <v>16003.9013671875</v>
      </c>
      <c r="E439">
        <v>21.7190246582031</v>
      </c>
    </row>
    <row r="440" spans="1:5" x14ac:dyDescent="0.25">
      <c r="A440">
        <v>6.10399913787841</v>
      </c>
      <c r="B440">
        <v>5.6158175468444798</v>
      </c>
      <c r="C440">
        <f t="shared" si="6"/>
        <v>2.5698880578572426E-4</v>
      </c>
      <c r="D440">
        <v>16044.7021484375</v>
      </c>
      <c r="E440">
        <v>21.718704223632798</v>
      </c>
    </row>
    <row r="441" spans="1:5" x14ac:dyDescent="0.25">
      <c r="A441">
        <v>6.1179995536804199</v>
      </c>
      <c r="B441">
        <v>5.5909266471862704</v>
      </c>
      <c r="C441">
        <f t="shared" si="6"/>
        <v>2.7218388411663597E-4</v>
      </c>
      <c r="D441">
        <v>16091.1005859375</v>
      </c>
      <c r="E441">
        <v>21.718704223632798</v>
      </c>
    </row>
    <row r="442" spans="1:5" x14ac:dyDescent="0.25">
      <c r="A442">
        <v>6.1319994926452601</v>
      </c>
      <c r="B442">
        <v>5.56685018539428</v>
      </c>
      <c r="C442">
        <f t="shared" si="6"/>
        <v>2.8773729789356538E-4</v>
      </c>
      <c r="D442">
        <v>16128.1005859375</v>
      </c>
      <c r="E442">
        <v>21.718704223632798</v>
      </c>
    </row>
    <row r="443" spans="1:5" x14ac:dyDescent="0.25">
      <c r="A443">
        <v>6.1459994316101003</v>
      </c>
      <c r="B443">
        <v>5.5385260581970197</v>
      </c>
      <c r="C443">
        <f t="shared" si="6"/>
        <v>3.07169133322802E-4</v>
      </c>
      <c r="D443">
        <v>16170.2998046875</v>
      </c>
      <c r="E443">
        <v>21.716150283813398</v>
      </c>
    </row>
    <row r="444" spans="1:5" x14ac:dyDescent="0.25">
      <c r="A444">
        <v>6.1599993705749503</v>
      </c>
      <c r="B444">
        <v>5.5098905563354403</v>
      </c>
      <c r="C444">
        <f t="shared" si="6"/>
        <v>3.2814844525944092E-4</v>
      </c>
      <c r="D444">
        <v>16218.5029296875</v>
      </c>
      <c r="E444">
        <v>21.717746734619102</v>
      </c>
    </row>
    <row r="445" spans="1:5" x14ac:dyDescent="0.25">
      <c r="A445">
        <v>6.1739993095397896</v>
      </c>
      <c r="B445">
        <v>5.4816465377807599</v>
      </c>
      <c r="C445">
        <f t="shared" si="6"/>
        <v>3.5024475365492383E-4</v>
      </c>
      <c r="D445">
        <v>16263.5986328125</v>
      </c>
      <c r="E445">
        <v>21.721258163452099</v>
      </c>
    </row>
    <row r="446" spans="1:5" x14ac:dyDescent="0.25">
      <c r="A446">
        <v>6.1879992485046298</v>
      </c>
      <c r="B446">
        <v>5.4509940147399902</v>
      </c>
      <c r="C446">
        <f t="shared" si="6"/>
        <v>3.759078744545696E-4</v>
      </c>
      <c r="D446">
        <v>16308.8994140625</v>
      </c>
      <c r="E446">
        <v>21.7190246582031</v>
      </c>
    </row>
    <row r="447" spans="1:5" x14ac:dyDescent="0.25">
      <c r="A447">
        <v>6.2019991874694798</v>
      </c>
      <c r="B447">
        <v>5.4175968170165998</v>
      </c>
      <c r="C447">
        <f t="shared" si="6"/>
        <v>4.0600920047818297E-4</v>
      </c>
      <c r="D447">
        <v>16365.8017578125</v>
      </c>
      <c r="E447">
        <v>21.722536087036101</v>
      </c>
    </row>
    <row r="448" spans="1:5" x14ac:dyDescent="0.25">
      <c r="A448">
        <v>6.2159996032714799</v>
      </c>
      <c r="B448">
        <v>5.3864502906799299</v>
      </c>
      <c r="C448">
        <f t="shared" si="6"/>
        <v>4.3625422895517699E-4</v>
      </c>
      <c r="D448">
        <v>16410.1015625</v>
      </c>
      <c r="E448">
        <v>21.722536087036101</v>
      </c>
    </row>
    <row r="449" spans="1:5" x14ac:dyDescent="0.25">
      <c r="A449">
        <v>6.2299995422363201</v>
      </c>
      <c r="B449">
        <v>5.3506283760070801</v>
      </c>
      <c r="C449">
        <f t="shared" si="6"/>
        <v>4.7382590808165597E-4</v>
      </c>
      <c r="D449">
        <v>16453.90234375</v>
      </c>
      <c r="E449">
        <v>21.721258163452099</v>
      </c>
    </row>
    <row r="450" spans="1:5" x14ac:dyDescent="0.25">
      <c r="A450">
        <v>6.2439994812011701</v>
      </c>
      <c r="B450">
        <v>5.3131556510925204</v>
      </c>
      <c r="C450">
        <f t="shared" si="6"/>
        <v>5.1659328893354493E-4</v>
      </c>
      <c r="D450">
        <v>16498.404296875</v>
      </c>
      <c r="E450">
        <v>21.721578598022401</v>
      </c>
    </row>
    <row r="451" spans="1:5" x14ac:dyDescent="0.25">
      <c r="A451">
        <v>6.2579994201660103</v>
      </c>
      <c r="B451">
        <v>5.27396488189697</v>
      </c>
      <c r="C451">
        <f t="shared" si="6"/>
        <v>5.654533131213375E-4</v>
      </c>
      <c r="D451">
        <v>16545.1015625</v>
      </c>
      <c r="E451">
        <v>21.722536087036101</v>
      </c>
    </row>
    <row r="452" spans="1:5" x14ac:dyDescent="0.25">
      <c r="A452">
        <v>6.2719993591308496</v>
      </c>
      <c r="B452">
        <v>5.2312097549438397</v>
      </c>
      <c r="C452">
        <f t="shared" si="6"/>
        <v>6.2403521250228833E-4</v>
      </c>
      <c r="D452">
        <v>16601.1015625</v>
      </c>
      <c r="E452">
        <v>21.723812103271399</v>
      </c>
    </row>
    <row r="453" spans="1:5" x14ac:dyDescent="0.25">
      <c r="A453">
        <v>6.2859992980956996</v>
      </c>
      <c r="B453">
        <v>5.1902332305908203</v>
      </c>
      <c r="C453">
        <f t="shared" ref="C453:C516" si="7">(10^-B453)*(100+A453)</f>
        <v>6.858716145339308E-4</v>
      </c>
      <c r="D453">
        <v>16650.6015625</v>
      </c>
      <c r="E453">
        <v>21.724132537841701</v>
      </c>
    </row>
    <row r="454" spans="1:5" x14ac:dyDescent="0.25">
      <c r="A454">
        <v>6.2999992370605398</v>
      </c>
      <c r="B454">
        <v>5.1458411216735804</v>
      </c>
      <c r="C454">
        <f t="shared" si="7"/>
        <v>7.5978749204747161E-4</v>
      </c>
      <c r="D454">
        <v>16708</v>
      </c>
      <c r="E454">
        <v>21.723812103271399</v>
      </c>
    </row>
    <row r="455" spans="1:5" x14ac:dyDescent="0.25">
      <c r="A455">
        <v>6.3139991760253897</v>
      </c>
      <c r="B455">
        <v>5.1018347740173304</v>
      </c>
      <c r="C455">
        <f t="shared" si="7"/>
        <v>8.4092193533755882E-4</v>
      </c>
      <c r="D455">
        <v>16761.6015625</v>
      </c>
      <c r="E455">
        <v>21.724132537841701</v>
      </c>
    </row>
    <row r="456" spans="1:5" x14ac:dyDescent="0.25">
      <c r="A456">
        <v>6.3279991149902299</v>
      </c>
      <c r="B456">
        <v>5.05584239959716</v>
      </c>
      <c r="C456">
        <f t="shared" si="7"/>
        <v>9.3498628798105356E-4</v>
      </c>
      <c r="D456">
        <v>16817.00390625</v>
      </c>
      <c r="E456">
        <v>21.726686477661101</v>
      </c>
    </row>
    <row r="457" spans="1:5" x14ac:dyDescent="0.25">
      <c r="A457">
        <v>6.3419995307922301</v>
      </c>
      <c r="B457">
        <v>5.0080933570861799</v>
      </c>
      <c r="C457">
        <f t="shared" si="7"/>
        <v>1.0437859938544495E-3</v>
      </c>
      <c r="D457">
        <v>16877.201171875</v>
      </c>
      <c r="E457">
        <v>21.726686477661101</v>
      </c>
    </row>
    <row r="458" spans="1:5" x14ac:dyDescent="0.25">
      <c r="A458">
        <v>6.3559994697570801</v>
      </c>
      <c r="B458">
        <v>4.96064901351928</v>
      </c>
      <c r="C458">
        <f t="shared" si="7"/>
        <v>1.1644289107183403E-3</v>
      </c>
      <c r="D458">
        <v>16936.404296875</v>
      </c>
      <c r="E458">
        <v>21.727643966674801</v>
      </c>
    </row>
    <row r="459" spans="1:5" x14ac:dyDescent="0.25">
      <c r="A459">
        <v>6.3699994087219203</v>
      </c>
      <c r="B459">
        <v>4.9124484062194798</v>
      </c>
      <c r="C459">
        <f t="shared" si="7"/>
        <v>1.3012799869707473E-3</v>
      </c>
      <c r="D459">
        <v>16994.306640625</v>
      </c>
      <c r="E459">
        <v>21.7263679504394</v>
      </c>
    </row>
    <row r="460" spans="1:5" x14ac:dyDescent="0.25">
      <c r="A460">
        <v>6.3839993476867596</v>
      </c>
      <c r="B460">
        <v>4.8627328872680602</v>
      </c>
      <c r="C460">
        <f t="shared" si="7"/>
        <v>1.459296112989845E-3</v>
      </c>
      <c r="D460">
        <v>17054.501953125</v>
      </c>
      <c r="E460">
        <v>21.726686477661101</v>
      </c>
    </row>
    <row r="461" spans="1:5" x14ac:dyDescent="0.25">
      <c r="A461">
        <v>6.3979992866516104</v>
      </c>
      <c r="B461">
        <v>4.8128886222839302</v>
      </c>
      <c r="C461">
        <f t="shared" si="7"/>
        <v>1.6369855252440714E-3</v>
      </c>
      <c r="D461">
        <v>17114.701171875</v>
      </c>
      <c r="E461">
        <v>21.729240417480401</v>
      </c>
    </row>
    <row r="462" spans="1:5" x14ac:dyDescent="0.25">
      <c r="A462">
        <v>6.4119992256164497</v>
      </c>
      <c r="B462">
        <v>4.7650871276855398</v>
      </c>
      <c r="C462">
        <f t="shared" si="7"/>
        <v>1.8276939528875276E-3</v>
      </c>
      <c r="D462">
        <v>17174.802734375</v>
      </c>
      <c r="E462">
        <v>21.727643966674801</v>
      </c>
    </row>
    <row r="463" spans="1:5" x14ac:dyDescent="0.25">
      <c r="A463">
        <v>6.4259991645812899</v>
      </c>
      <c r="B463">
        <v>4.7174644470214799</v>
      </c>
      <c r="C463">
        <f t="shared" si="7"/>
        <v>2.0397798118231072E-3</v>
      </c>
      <c r="D463">
        <v>17228.306640625</v>
      </c>
      <c r="E463">
        <v>21.727962493896399</v>
      </c>
    </row>
    <row r="464" spans="1:5" x14ac:dyDescent="0.25">
      <c r="A464">
        <v>6.4399995803832999</v>
      </c>
      <c r="B464">
        <v>4.6689219474792401</v>
      </c>
      <c r="C464">
        <f t="shared" si="7"/>
        <v>2.2813027115872351E-3</v>
      </c>
      <c r="D464">
        <v>17288.400390625</v>
      </c>
      <c r="E464">
        <v>21.727962493896399</v>
      </c>
    </row>
    <row r="465" spans="1:5" x14ac:dyDescent="0.25">
      <c r="A465">
        <v>6.4539995193481401</v>
      </c>
      <c r="B465">
        <v>4.6221504211425701</v>
      </c>
      <c r="C465">
        <f t="shared" si="7"/>
        <v>2.5410403508677715E-3</v>
      </c>
      <c r="D465">
        <v>17348.603515625</v>
      </c>
      <c r="E465">
        <v>21.7263679504394</v>
      </c>
    </row>
    <row r="466" spans="1:5" x14ac:dyDescent="0.25">
      <c r="A466">
        <v>6.4679994583129803</v>
      </c>
      <c r="B466">
        <v>4.57490682601928</v>
      </c>
      <c r="C466">
        <f t="shared" si="7"/>
        <v>2.8334285637016355E-3</v>
      </c>
      <c r="D466">
        <v>17408.80078125</v>
      </c>
      <c r="E466">
        <v>21.7263679504394</v>
      </c>
    </row>
    <row r="467" spans="1:5" x14ac:dyDescent="0.25">
      <c r="A467">
        <v>6.4819993972778303</v>
      </c>
      <c r="B467">
        <v>4.5283761024475098</v>
      </c>
      <c r="C467">
        <f t="shared" si="7"/>
        <v>3.1542789287387122E-3</v>
      </c>
      <c r="D467">
        <v>17469</v>
      </c>
      <c r="E467">
        <v>21.729240417480401</v>
      </c>
    </row>
    <row r="468" spans="1:5" x14ac:dyDescent="0.25">
      <c r="A468">
        <v>6.4959993362426696</v>
      </c>
      <c r="B468">
        <v>4.4833559989929199</v>
      </c>
      <c r="C468">
        <f t="shared" si="7"/>
        <v>3.4992687169188856E-3</v>
      </c>
      <c r="D468">
        <v>17529.203125</v>
      </c>
      <c r="E468">
        <v>21.730197906494102</v>
      </c>
    </row>
    <row r="469" spans="1:5" x14ac:dyDescent="0.25">
      <c r="A469">
        <v>6.5099992752075098</v>
      </c>
      <c r="B469">
        <v>4.4397406578063903</v>
      </c>
      <c r="C469">
        <f t="shared" si="7"/>
        <v>3.8694543188074397E-3</v>
      </c>
      <c r="D469">
        <v>17589.400390625</v>
      </c>
      <c r="E469">
        <v>21.727643966674801</v>
      </c>
    </row>
    <row r="470" spans="1:5" x14ac:dyDescent="0.25">
      <c r="A470">
        <v>6.5239992141723597</v>
      </c>
      <c r="B470">
        <v>4.3964867591857901</v>
      </c>
      <c r="C470">
        <f t="shared" si="7"/>
        <v>4.2752420053814161E-3</v>
      </c>
      <c r="D470">
        <v>17649.599609375</v>
      </c>
      <c r="E470">
        <v>21.7314758300781</v>
      </c>
    </row>
    <row r="471" spans="1:5" x14ac:dyDescent="0.25">
      <c r="A471">
        <v>6.5379991531371999</v>
      </c>
      <c r="B471">
        <v>4.3557372093200604</v>
      </c>
      <c r="C471">
        <f t="shared" si="7"/>
        <v>4.6964243044024696E-3</v>
      </c>
      <c r="D471">
        <v>17709.8046875</v>
      </c>
      <c r="E471">
        <v>21.727962493896399</v>
      </c>
    </row>
    <row r="472" spans="1:5" x14ac:dyDescent="0.25">
      <c r="A472">
        <v>6.5519990921020499</v>
      </c>
      <c r="B472">
        <v>4.3157072067260698</v>
      </c>
      <c r="C472">
        <f t="shared" si="7"/>
        <v>5.1505593448362081E-3</v>
      </c>
      <c r="D472">
        <v>17767.90234375</v>
      </c>
      <c r="E472">
        <v>21.730197906494102</v>
      </c>
    </row>
    <row r="473" spans="1:5" x14ac:dyDescent="0.25">
      <c r="A473">
        <v>6.5659995079040501</v>
      </c>
      <c r="B473">
        <v>4.2755661010742099</v>
      </c>
      <c r="C473">
        <f t="shared" si="7"/>
        <v>5.6500535186079313E-3</v>
      </c>
      <c r="D473">
        <v>17828.1015625</v>
      </c>
      <c r="E473">
        <v>21.7314758300781</v>
      </c>
    </row>
    <row r="474" spans="1:5" x14ac:dyDescent="0.25">
      <c r="A474">
        <v>6.5799994468688903</v>
      </c>
      <c r="B474">
        <v>4.2371358871459899</v>
      </c>
      <c r="C474">
        <f t="shared" si="7"/>
        <v>6.17361903797477E-3</v>
      </c>
      <c r="D474">
        <v>17888.3046875</v>
      </c>
      <c r="E474">
        <v>21.732751846313398</v>
      </c>
    </row>
    <row r="475" spans="1:5" x14ac:dyDescent="0.25">
      <c r="A475">
        <v>6.5939993858337402</v>
      </c>
      <c r="B475">
        <v>4.2022070884704501</v>
      </c>
      <c r="C475">
        <f t="shared" si="7"/>
        <v>6.6915336874349965E-3</v>
      </c>
      <c r="D475">
        <v>17935.900390625</v>
      </c>
      <c r="E475">
        <v>21.727962493896399</v>
      </c>
    </row>
    <row r="476" spans="1:5" x14ac:dyDescent="0.25">
      <c r="A476">
        <v>6.6079993247985804</v>
      </c>
      <c r="B476">
        <v>4.1642932891845703</v>
      </c>
      <c r="C476">
        <f t="shared" si="7"/>
        <v>7.3029193409963177E-3</v>
      </c>
      <c r="D476">
        <v>17996.1015625</v>
      </c>
      <c r="E476">
        <v>21.732751846313398</v>
      </c>
    </row>
    <row r="477" spans="1:5" x14ac:dyDescent="0.25">
      <c r="A477">
        <v>6.6219992637634197</v>
      </c>
      <c r="B477">
        <v>4.1298336982726997</v>
      </c>
      <c r="C477">
        <f t="shared" si="7"/>
        <v>7.907025209346703E-3</v>
      </c>
      <c r="D477">
        <v>18051.205078125</v>
      </c>
      <c r="E477">
        <v>21.7330722808837</v>
      </c>
    </row>
    <row r="478" spans="1:5" x14ac:dyDescent="0.25">
      <c r="A478">
        <v>6.6359992027282697</v>
      </c>
      <c r="B478">
        <v>4.0953054428100497</v>
      </c>
      <c r="C478">
        <f t="shared" si="7"/>
        <v>8.5624569293208195E-3</v>
      </c>
      <c r="D478">
        <v>18111.400390625</v>
      </c>
      <c r="E478">
        <v>21.732751846313398</v>
      </c>
    </row>
    <row r="479" spans="1:5" x14ac:dyDescent="0.25">
      <c r="A479">
        <v>6.6499991416931099</v>
      </c>
      <c r="B479">
        <v>4.0626273155212402</v>
      </c>
      <c r="C479">
        <f t="shared" si="7"/>
        <v>9.2328023970007101E-3</v>
      </c>
      <c r="D479">
        <v>18170.607421875</v>
      </c>
      <c r="E479">
        <v>21.734029769897401</v>
      </c>
    </row>
    <row r="480" spans="1:5" x14ac:dyDescent="0.25">
      <c r="A480">
        <v>6.6639995574951101</v>
      </c>
      <c r="B480">
        <v>4.0321021080017001</v>
      </c>
      <c r="C480">
        <f t="shared" si="7"/>
        <v>9.9063976364657195E-3</v>
      </c>
      <c r="D480">
        <v>18221.60546875</v>
      </c>
      <c r="E480">
        <v>21.7330722808837</v>
      </c>
    </row>
    <row r="481" spans="1:5" x14ac:dyDescent="0.25">
      <c r="A481">
        <v>6.67799949645996</v>
      </c>
      <c r="B481">
        <v>4.00140333175659</v>
      </c>
      <c r="C481">
        <f t="shared" si="7"/>
        <v>1.0633384818583764E-2</v>
      </c>
      <c r="D481">
        <v>18275.00390625</v>
      </c>
      <c r="E481">
        <v>21.734348297119102</v>
      </c>
    </row>
    <row r="482" spans="1:5" x14ac:dyDescent="0.25">
      <c r="A482">
        <v>6.6919994354248002</v>
      </c>
      <c r="B482">
        <v>3.9705140590667698</v>
      </c>
      <c r="C482">
        <f t="shared" si="7"/>
        <v>1.1418729760773422E-2</v>
      </c>
      <c r="D482">
        <v>18335.201171875</v>
      </c>
      <c r="E482">
        <v>21.7330722808837</v>
      </c>
    </row>
    <row r="483" spans="1:5" x14ac:dyDescent="0.25">
      <c r="A483">
        <v>6.7059993743896396</v>
      </c>
      <c r="B483">
        <v>3.94163942337036</v>
      </c>
      <c r="C483">
        <f t="shared" si="7"/>
        <v>1.2205326856938918E-2</v>
      </c>
      <c r="D483">
        <v>18395.400390625</v>
      </c>
      <c r="E483">
        <v>21.730197906494102</v>
      </c>
    </row>
    <row r="484" spans="1:5" x14ac:dyDescent="0.25">
      <c r="A484">
        <v>6.7199993133544904</v>
      </c>
      <c r="B484">
        <v>3.91339063644409</v>
      </c>
      <c r="C484">
        <f t="shared" si="7"/>
        <v>1.3027322884205689E-2</v>
      </c>
      <c r="D484">
        <v>18455.40234375</v>
      </c>
      <c r="E484">
        <v>21.730197906494102</v>
      </c>
    </row>
    <row r="485" spans="1:5" x14ac:dyDescent="0.25">
      <c r="A485">
        <v>6.7339992523193297</v>
      </c>
      <c r="B485">
        <v>3.8867838382720898</v>
      </c>
      <c r="C485">
        <f t="shared" si="7"/>
        <v>1.385220608760758E-2</v>
      </c>
      <c r="D485">
        <v>18513.8046875</v>
      </c>
      <c r="E485">
        <v>21.7305183410644</v>
      </c>
    </row>
    <row r="486" spans="1:5" x14ac:dyDescent="0.25">
      <c r="A486">
        <v>6.7479991912841797</v>
      </c>
      <c r="B486">
        <v>3.8611502647399898</v>
      </c>
      <c r="C486">
        <f t="shared" si="7"/>
        <v>1.4696349749317493E-2</v>
      </c>
      <c r="D486">
        <v>18568.10546875</v>
      </c>
      <c r="E486">
        <v>21.729240417480401</v>
      </c>
    </row>
    <row r="487" spans="1:5" x14ac:dyDescent="0.25">
      <c r="A487">
        <v>6.7619991302490199</v>
      </c>
      <c r="B487">
        <v>3.8369693756103498</v>
      </c>
      <c r="C487">
        <f t="shared" si="7"/>
        <v>1.5539867868757306E-2</v>
      </c>
      <c r="D487">
        <v>18618.40234375</v>
      </c>
      <c r="E487">
        <v>21.727962493896399</v>
      </c>
    </row>
    <row r="488" spans="1:5" x14ac:dyDescent="0.25">
      <c r="A488">
        <v>6.7759990692138601</v>
      </c>
      <c r="B488">
        <v>3.81191086769104</v>
      </c>
      <c r="C488">
        <f t="shared" si="7"/>
        <v>1.6465039464035786E-2</v>
      </c>
      <c r="D488">
        <v>18673.103515625</v>
      </c>
      <c r="E488">
        <v>21.7305183410644</v>
      </c>
    </row>
    <row r="489" spans="1:5" x14ac:dyDescent="0.25">
      <c r="A489">
        <v>6.7899994850158603</v>
      </c>
      <c r="B489">
        <v>3.7894926071166899</v>
      </c>
      <c r="C489">
        <f t="shared" si="7"/>
        <v>1.7339556185479867E-2</v>
      </c>
      <c r="D489">
        <v>18719.40234375</v>
      </c>
      <c r="E489">
        <v>21.729240417480401</v>
      </c>
    </row>
    <row r="490" spans="1:5" x14ac:dyDescent="0.25">
      <c r="A490">
        <v>6.8039994239807102</v>
      </c>
      <c r="B490">
        <v>3.7655344009399401</v>
      </c>
      <c r="C490">
        <f t="shared" si="7"/>
        <v>1.832538530667125E-2</v>
      </c>
      <c r="D490">
        <v>18772</v>
      </c>
      <c r="E490">
        <v>21.7305183410644</v>
      </c>
    </row>
    <row r="491" spans="1:5" x14ac:dyDescent="0.25">
      <c r="A491">
        <v>6.8179993629455504</v>
      </c>
      <c r="B491">
        <v>3.74498414993286</v>
      </c>
      <c r="C491">
        <f t="shared" si="7"/>
        <v>1.9215880519068688E-2</v>
      </c>
      <c r="D491">
        <v>18813.50390625</v>
      </c>
      <c r="E491">
        <v>21.7314758300781</v>
      </c>
    </row>
    <row r="492" spans="1:5" x14ac:dyDescent="0.25">
      <c r="A492">
        <v>6.8319993019104004</v>
      </c>
      <c r="B492">
        <v>3.72192287445068</v>
      </c>
      <c r="C492">
        <f t="shared" si="7"/>
        <v>2.0266487333310067E-2</v>
      </c>
      <c r="D492">
        <v>18864.203125</v>
      </c>
      <c r="E492">
        <v>21.732751846313398</v>
      </c>
    </row>
    <row r="493" spans="1:5" x14ac:dyDescent="0.25">
      <c r="A493">
        <v>6.8459992408752397</v>
      </c>
      <c r="B493">
        <v>3.7011978626251198</v>
      </c>
      <c r="C493">
        <f t="shared" si="7"/>
        <v>2.1259860102610925E-2</v>
      </c>
      <c r="D493">
        <v>18914.40234375</v>
      </c>
      <c r="E493">
        <v>21.732751846313398</v>
      </c>
    </row>
    <row r="494" spans="1:5" x14ac:dyDescent="0.25">
      <c r="A494">
        <v>6.8599991798400799</v>
      </c>
      <c r="B494">
        <v>3.6804726123809801</v>
      </c>
      <c r="C494">
        <f t="shared" si="7"/>
        <v>2.2301935432507341E-2</v>
      </c>
      <c r="D494">
        <v>18966.900390625</v>
      </c>
      <c r="E494">
        <v>21.732751846313398</v>
      </c>
    </row>
    <row r="495" spans="1:5" x14ac:dyDescent="0.25">
      <c r="A495">
        <v>6.8739991188049299</v>
      </c>
      <c r="B495">
        <v>3.6626677513122501</v>
      </c>
      <c r="C495">
        <f t="shared" si="7"/>
        <v>2.3238297604062621E-2</v>
      </c>
      <c r="D495">
        <v>19004.501953125</v>
      </c>
      <c r="E495">
        <v>21.7330722808837</v>
      </c>
    </row>
    <row r="496" spans="1:5" x14ac:dyDescent="0.25">
      <c r="A496">
        <v>6.88799953460693</v>
      </c>
      <c r="B496">
        <v>3.6423997879028298</v>
      </c>
      <c r="C496">
        <f t="shared" si="7"/>
        <v>2.4351693066542852E-2</v>
      </c>
      <c r="D496">
        <v>19052.3046875</v>
      </c>
      <c r="E496">
        <v>21.734348297119102</v>
      </c>
    </row>
    <row r="497" spans="1:5" x14ac:dyDescent="0.25">
      <c r="A497">
        <v>6.9019994735717702</v>
      </c>
      <c r="B497">
        <v>3.6240546703338601</v>
      </c>
      <c r="C497">
        <f t="shared" si="7"/>
        <v>2.5405699557538155E-2</v>
      </c>
      <c r="D497">
        <v>19099.10546875</v>
      </c>
      <c r="E497">
        <v>21.7314758300781</v>
      </c>
    </row>
    <row r="498" spans="1:5" x14ac:dyDescent="0.25">
      <c r="A498">
        <v>6.9159994125366202</v>
      </c>
      <c r="B498">
        <v>3.6066210269927899</v>
      </c>
      <c r="C498">
        <f t="shared" si="7"/>
        <v>2.6449756179022548E-2</v>
      </c>
      <c r="D498">
        <v>19144.001953125</v>
      </c>
      <c r="E498">
        <v>21.732751846313398</v>
      </c>
    </row>
    <row r="499" spans="1:5" x14ac:dyDescent="0.25">
      <c r="A499">
        <v>6.9299993515014604</v>
      </c>
      <c r="B499">
        <v>3.58899521827697</v>
      </c>
      <c r="C499">
        <f t="shared" si="7"/>
        <v>2.7548905285462281E-2</v>
      </c>
      <c r="D499">
        <v>19193.201171875</v>
      </c>
      <c r="E499">
        <v>21.734348297119102</v>
      </c>
    </row>
    <row r="500" spans="1:5" x14ac:dyDescent="0.25">
      <c r="A500">
        <v>6.9439992904662997</v>
      </c>
      <c r="B500">
        <v>3.5724854469299299</v>
      </c>
      <c r="C500">
        <f t="shared" si="7"/>
        <v>2.8620088612038994E-2</v>
      </c>
      <c r="D500">
        <v>19235.90625</v>
      </c>
      <c r="E500">
        <v>21.734348297119102</v>
      </c>
    </row>
    <row r="501" spans="1:5" x14ac:dyDescent="0.25">
      <c r="A501">
        <v>6.9579992294311497</v>
      </c>
      <c r="B501">
        <v>3.5554320812225302</v>
      </c>
      <c r="C501">
        <f t="shared" si="7"/>
        <v>2.9770161395938567E-2</v>
      </c>
      <c r="D501">
        <v>19282.103515625</v>
      </c>
      <c r="E501">
        <v>21.732751846313398</v>
      </c>
    </row>
    <row r="502" spans="1:5" x14ac:dyDescent="0.25">
      <c r="A502">
        <v>6.9719991683959899</v>
      </c>
      <c r="B502">
        <v>3.5396373271942099</v>
      </c>
      <c r="C502">
        <f t="shared" si="7"/>
        <v>3.0876835574282269E-2</v>
      </c>
      <c r="D502">
        <v>19328.201171875</v>
      </c>
      <c r="E502">
        <v>21.734029769897401</v>
      </c>
    </row>
    <row r="503" spans="1:5" x14ac:dyDescent="0.25">
      <c r="A503">
        <v>6.9859991073608398</v>
      </c>
      <c r="B503">
        <v>3.5252401828765798</v>
      </c>
      <c r="C503">
        <f t="shared" si="7"/>
        <v>3.192175528187443E-2</v>
      </c>
      <c r="D503">
        <v>19362.8046875</v>
      </c>
      <c r="E503">
        <v>21.734029769897401</v>
      </c>
    </row>
    <row r="504" spans="1:5" x14ac:dyDescent="0.25">
      <c r="A504">
        <v>6.99999904632568</v>
      </c>
      <c r="B504">
        <v>3.5089240074157702</v>
      </c>
      <c r="C504">
        <f t="shared" si="7"/>
        <v>3.3148185948202728E-2</v>
      </c>
      <c r="D504">
        <v>19406.80078125</v>
      </c>
      <c r="E504">
        <v>21.7356262207031</v>
      </c>
    </row>
    <row r="505" spans="1:5" x14ac:dyDescent="0.25">
      <c r="A505">
        <v>7.0139994621276802</v>
      </c>
      <c r="B505">
        <v>3.4941763877868599</v>
      </c>
      <c r="C505">
        <f t="shared" si="7"/>
        <v>3.4297637634511421E-2</v>
      </c>
      <c r="D505">
        <v>19450.900390625</v>
      </c>
      <c r="E505">
        <v>21.7356262207031</v>
      </c>
    </row>
    <row r="506" spans="1:5" x14ac:dyDescent="0.25">
      <c r="A506">
        <v>7.0279994010925204</v>
      </c>
      <c r="B506">
        <v>3.4801716804504301</v>
      </c>
      <c r="C506">
        <f t="shared" si="7"/>
        <v>3.5426294375794906E-2</v>
      </c>
      <c r="D506">
        <v>19492.90234375</v>
      </c>
      <c r="E506">
        <v>21.736583709716701</v>
      </c>
    </row>
    <row r="507" spans="1:5" x14ac:dyDescent="0.25">
      <c r="A507">
        <v>7.0419993400573704</v>
      </c>
      <c r="B507">
        <v>3.4663462638854901</v>
      </c>
      <c r="C507">
        <f t="shared" si="7"/>
        <v>3.6576988722459118E-2</v>
      </c>
      <c r="D507">
        <v>19532.90625</v>
      </c>
      <c r="E507">
        <v>21.734348297119102</v>
      </c>
    </row>
    <row r="508" spans="1:5" x14ac:dyDescent="0.25">
      <c r="A508">
        <v>7.0559992790222097</v>
      </c>
      <c r="B508">
        <v>3.4526383876800502</v>
      </c>
      <c r="C508">
        <f t="shared" si="7"/>
        <v>3.7754838939837096E-2</v>
      </c>
      <c r="D508">
        <v>19572.103515625</v>
      </c>
      <c r="E508">
        <v>21.736902236938398</v>
      </c>
    </row>
    <row r="509" spans="1:5" x14ac:dyDescent="0.25">
      <c r="A509">
        <v>7.0699992179870597</v>
      </c>
      <c r="B509">
        <v>3.4389228820800701</v>
      </c>
      <c r="C509">
        <f t="shared" si="7"/>
        <v>3.8971302175633438E-2</v>
      </c>
      <c r="D509">
        <v>19614.599609375</v>
      </c>
      <c r="E509">
        <v>21.734348297119102</v>
      </c>
    </row>
    <row r="510" spans="1:5" x14ac:dyDescent="0.25">
      <c r="A510">
        <v>7.0839991569518999</v>
      </c>
      <c r="B510">
        <v>3.4262626171111998</v>
      </c>
      <c r="C510">
        <f t="shared" si="7"/>
        <v>4.0129335179437634E-2</v>
      </c>
      <c r="D510">
        <v>19653.40234375</v>
      </c>
      <c r="E510">
        <v>21.736583709716701</v>
      </c>
    </row>
    <row r="511" spans="1:5" x14ac:dyDescent="0.25">
      <c r="A511">
        <v>7.0979990959167401</v>
      </c>
      <c r="B511">
        <v>3.4133317470550502</v>
      </c>
      <c r="C511">
        <f t="shared" si="7"/>
        <v>4.1347533711516053E-2</v>
      </c>
      <c r="D511">
        <v>19694.1015625</v>
      </c>
      <c r="E511">
        <v>21.739456176757798</v>
      </c>
    </row>
    <row r="512" spans="1:5" x14ac:dyDescent="0.25">
      <c r="A512">
        <v>7.11199951171875</v>
      </c>
      <c r="B512">
        <v>3.4008536338806099</v>
      </c>
      <c r="C512">
        <f t="shared" si="7"/>
        <v>4.2558321660643376E-2</v>
      </c>
      <c r="D512">
        <v>19733.703125</v>
      </c>
      <c r="E512">
        <v>21.737859725952099</v>
      </c>
    </row>
    <row r="513" spans="1:5" x14ac:dyDescent="0.25">
      <c r="A513">
        <v>7.1259994506835902</v>
      </c>
      <c r="B513">
        <v>3.3894453048706001</v>
      </c>
      <c r="C513">
        <f t="shared" si="7"/>
        <v>4.3696794766367654E-2</v>
      </c>
      <c r="D513">
        <v>19768.501953125</v>
      </c>
      <c r="E513">
        <v>21.737859725952099</v>
      </c>
    </row>
    <row r="514" spans="1:5" x14ac:dyDescent="0.25">
      <c r="A514">
        <v>7.1399993896484304</v>
      </c>
      <c r="B514">
        <v>3.3770682811736998</v>
      </c>
      <c r="C514">
        <f t="shared" si="7"/>
        <v>4.4965907048439745E-2</v>
      </c>
      <c r="D514">
        <v>19807.404296875</v>
      </c>
      <c r="E514">
        <v>21.737859725952099</v>
      </c>
    </row>
    <row r="515" spans="1:5" x14ac:dyDescent="0.25">
      <c r="A515">
        <v>7.1539993286132804</v>
      </c>
      <c r="B515">
        <v>3.3655309677124001</v>
      </c>
      <c r="C515">
        <f t="shared" si="7"/>
        <v>4.6182497694055975E-2</v>
      </c>
      <c r="D515">
        <v>19844.501953125</v>
      </c>
      <c r="E515">
        <v>21.739137649536101</v>
      </c>
    </row>
    <row r="516" spans="1:5" x14ac:dyDescent="0.25">
      <c r="A516">
        <v>7.1679992675781197</v>
      </c>
      <c r="B516">
        <v>3.35357666015625</v>
      </c>
      <c r="C516">
        <f t="shared" si="7"/>
        <v>4.7477567810490152E-2</v>
      </c>
      <c r="D516">
        <v>19884.900390625</v>
      </c>
      <c r="E516">
        <v>21.739137649536101</v>
      </c>
    </row>
    <row r="517" spans="1:5" x14ac:dyDescent="0.25">
      <c r="A517">
        <v>7.1819992065429599</v>
      </c>
      <c r="B517">
        <v>3.34238481521606</v>
      </c>
      <c r="C517">
        <f t="shared" ref="C517:C534" si="8">(10^-B517)*(100+A517)</f>
        <v>4.8723338491692192E-2</v>
      </c>
      <c r="D517">
        <v>19925.80078125</v>
      </c>
      <c r="E517">
        <v>21.739137649536101</v>
      </c>
    </row>
    <row r="518" spans="1:5" x14ac:dyDescent="0.25">
      <c r="A518">
        <v>7.1959991455078098</v>
      </c>
      <c r="B518">
        <v>3.3312497138977002</v>
      </c>
      <c r="C518">
        <f t="shared" si="8"/>
        <v>4.9995263615790597E-2</v>
      </c>
      <c r="D518">
        <v>19967.005859375</v>
      </c>
      <c r="E518">
        <v>21.737859725952099</v>
      </c>
    </row>
    <row r="519" spans="1:5" x14ac:dyDescent="0.25">
      <c r="A519">
        <v>7.20999908447265</v>
      </c>
      <c r="B519">
        <v>3.32131004333496</v>
      </c>
      <c r="C519">
        <f t="shared" si="8"/>
        <v>5.1159377212932448E-2</v>
      </c>
      <c r="D519">
        <v>20002.001953125</v>
      </c>
      <c r="E519">
        <v>21.739137649536101</v>
      </c>
    </row>
    <row r="520" spans="1:5" x14ac:dyDescent="0.25">
      <c r="A520">
        <v>7.2239990234375</v>
      </c>
      <c r="B520">
        <v>3.3103706836700399</v>
      </c>
      <c r="C520">
        <f t="shared" si="8"/>
        <v>5.2471238718452627E-2</v>
      </c>
      <c r="D520">
        <v>20040.30078125</v>
      </c>
      <c r="E520">
        <v>21.737859725952099</v>
      </c>
    </row>
    <row r="521" spans="1:5" x14ac:dyDescent="0.25">
      <c r="A521">
        <v>7.2379994392395002</v>
      </c>
      <c r="B521">
        <v>3.3005595207214302</v>
      </c>
      <c r="C521">
        <f t="shared" si="8"/>
        <v>5.3677117116421938E-2</v>
      </c>
      <c r="D521">
        <v>20073.806640625</v>
      </c>
      <c r="E521">
        <v>21.737859725952099</v>
      </c>
    </row>
    <row r="522" spans="1:5" x14ac:dyDescent="0.25">
      <c r="A522">
        <v>7.2519993782043404</v>
      </c>
      <c r="B522">
        <v>3.2905426025390598</v>
      </c>
      <c r="C522">
        <f t="shared" si="8"/>
        <v>5.4936728623794617E-2</v>
      </c>
      <c r="D522">
        <v>20107.404296875</v>
      </c>
      <c r="E522">
        <v>21.737859725952099</v>
      </c>
    </row>
    <row r="523" spans="1:5" x14ac:dyDescent="0.25">
      <c r="A523">
        <v>7.2659993171691797</v>
      </c>
      <c r="B523">
        <v>3.2806582450866699</v>
      </c>
      <c r="C523">
        <f t="shared" si="8"/>
        <v>5.6208738441878896E-2</v>
      </c>
      <c r="D523">
        <v>20140.404296875</v>
      </c>
      <c r="E523">
        <v>21.736902236938398</v>
      </c>
    </row>
    <row r="524" spans="1:5" x14ac:dyDescent="0.25">
      <c r="A524">
        <v>7.2799992561340297</v>
      </c>
      <c r="B524">
        <v>3.2707047462463299</v>
      </c>
      <c r="C524">
        <f t="shared" si="8"/>
        <v>5.7519356085450821E-2</v>
      </c>
      <c r="D524">
        <v>20174.904296875</v>
      </c>
      <c r="E524">
        <v>21.740415573120099</v>
      </c>
    </row>
    <row r="525" spans="1:5" x14ac:dyDescent="0.25">
      <c r="A525">
        <v>7.2939991950988698</v>
      </c>
      <c r="B525">
        <v>3.26103663444519</v>
      </c>
      <c r="C525">
        <f t="shared" si="8"/>
        <v>5.8821866168200045E-2</v>
      </c>
      <c r="D525">
        <v>20210.00390625</v>
      </c>
      <c r="E525">
        <v>21.739456176757798</v>
      </c>
    </row>
    <row r="526" spans="1:5" x14ac:dyDescent="0.25">
      <c r="A526">
        <v>7.3079991340637198</v>
      </c>
      <c r="B526">
        <v>3.2513401508331299</v>
      </c>
      <c r="C526">
        <f t="shared" si="8"/>
        <v>6.015780010229687E-2</v>
      </c>
      <c r="D526">
        <v>20245.404296875</v>
      </c>
      <c r="E526">
        <v>21.737859725952099</v>
      </c>
    </row>
    <row r="527" spans="1:5" x14ac:dyDescent="0.25">
      <c r="A527">
        <v>7.32199907302856</v>
      </c>
      <c r="B527">
        <v>3.24242639541625</v>
      </c>
      <c r="C527">
        <f t="shared" si="8"/>
        <v>6.1413289209331673E-2</v>
      </c>
      <c r="D527">
        <v>20278.201171875</v>
      </c>
      <c r="E527">
        <v>21.740415573120099</v>
      </c>
    </row>
    <row r="528" spans="1:5" x14ac:dyDescent="0.25">
      <c r="A528">
        <v>7.3359994888305602</v>
      </c>
      <c r="B528">
        <v>3.2335121631622301</v>
      </c>
      <c r="C528">
        <f t="shared" si="8"/>
        <v>6.2695048334929171E-2</v>
      </c>
      <c r="D528">
        <v>20311.501953125</v>
      </c>
      <c r="E528">
        <v>21.740415573120099</v>
      </c>
    </row>
    <row r="529" spans="1:5" x14ac:dyDescent="0.25">
      <c r="A529">
        <v>7.3499994277954102</v>
      </c>
      <c r="B529">
        <v>3.2240707874297998</v>
      </c>
      <c r="C529">
        <f t="shared" si="8"/>
        <v>6.4081291950609173E-2</v>
      </c>
      <c r="D529">
        <v>20347.501953125</v>
      </c>
      <c r="E529">
        <v>21.739456176757798</v>
      </c>
    </row>
    <row r="530" spans="1:5" x14ac:dyDescent="0.25">
      <c r="A530">
        <v>7.3639993667602504</v>
      </c>
      <c r="B530">
        <v>3.2161371707916202</v>
      </c>
      <c r="C530">
        <f t="shared" si="8"/>
        <v>6.5271186900155306E-2</v>
      </c>
      <c r="D530">
        <v>20378.005859375</v>
      </c>
      <c r="E530">
        <v>21.740415573120099</v>
      </c>
    </row>
    <row r="531" spans="1:5" x14ac:dyDescent="0.25">
      <c r="A531">
        <v>7.3779993057250897</v>
      </c>
      <c r="B531">
        <v>3.20730996131896</v>
      </c>
      <c r="C531">
        <f t="shared" si="8"/>
        <v>6.6620110161934448E-2</v>
      </c>
      <c r="D531">
        <v>20410.705078125</v>
      </c>
      <c r="E531">
        <v>21.739137649536101</v>
      </c>
    </row>
    <row r="532" spans="1:5" x14ac:dyDescent="0.25">
      <c r="A532">
        <v>7.3919992446899396</v>
      </c>
      <c r="B532">
        <v>3.1992402076721098</v>
      </c>
      <c r="C532">
        <f t="shared" si="8"/>
        <v>6.7878419221813271E-2</v>
      </c>
      <c r="D532">
        <v>20439.6015625</v>
      </c>
      <c r="E532">
        <v>21.740734100341701</v>
      </c>
    </row>
    <row r="533" spans="1:5" x14ac:dyDescent="0.25">
      <c r="A533">
        <v>7.4059991836547798</v>
      </c>
      <c r="B533">
        <v>3.1908469200134202</v>
      </c>
      <c r="C533">
        <f t="shared" si="8"/>
        <v>6.9212035144092285E-2</v>
      </c>
      <c r="D533">
        <v>20471.603515625</v>
      </c>
      <c r="E533">
        <v>21.7420120239257</v>
      </c>
    </row>
    <row r="534" spans="1:5" x14ac:dyDescent="0.25">
      <c r="A534">
        <v>7.41999912261962</v>
      </c>
      <c r="B534">
        <v>3.1828649044036799</v>
      </c>
      <c r="C534">
        <f t="shared" si="8"/>
        <v>7.0505052463401163E-2</v>
      </c>
      <c r="D534">
        <v>20499.703125</v>
      </c>
      <c r="E534">
        <v>21.740734100341701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37"/>
  <sheetViews>
    <sheetView workbookViewId="0">
      <selection activeCell="B4" sqref="B4"/>
    </sheetView>
  </sheetViews>
  <sheetFormatPr defaultRowHeight="15" x14ac:dyDescent="0.25"/>
  <sheetData>
    <row r="1" spans="1:15" x14ac:dyDescent="0.25">
      <c r="A1" t="str">
        <f ca="1">MID(CELL("filename",A1),FIND("]",CELL("filename",A1))+1,3)</f>
        <v>CCV</v>
      </c>
      <c r="C1" t="str">
        <f ca="1">A1</f>
        <v>CCV</v>
      </c>
    </row>
    <row r="2" spans="1:15" x14ac:dyDescent="0.25">
      <c r="A2">
        <v>100</v>
      </c>
    </row>
    <row r="3" spans="1:15" x14ac:dyDescent="0.25">
      <c r="A3" t="s">
        <v>0</v>
      </c>
    </row>
    <row r="4" spans="1:15" x14ac:dyDescent="0.25">
      <c r="A4">
        <v>0</v>
      </c>
      <c r="B4">
        <v>3.8477871417999201</v>
      </c>
      <c r="C4">
        <f>(10^-B4)*(100+A4)</f>
        <v>1.4197532064779236E-2</v>
      </c>
      <c r="E4" t="s">
        <v>4</v>
      </c>
    </row>
    <row r="5" spans="1:15" ht="15.75" thickBot="1" x14ac:dyDescent="0.3">
      <c r="A5">
        <v>1.3999998569488499E-2</v>
      </c>
      <c r="B5">
        <v>3.8065166473388601</v>
      </c>
      <c r="C5">
        <f t="shared" ref="C5:C37" si="0">(10^-B5)*(100+A5)</f>
        <v>1.5615077700834066E-2</v>
      </c>
    </row>
    <row r="6" spans="1:15" x14ac:dyDescent="0.25">
      <c r="A6">
        <v>2.7999997138976999E-2</v>
      </c>
      <c r="B6">
        <v>3.7639946937561</v>
      </c>
      <c r="C6">
        <f t="shared" si="0"/>
        <v>1.7223717420816478E-2</v>
      </c>
      <c r="E6" s="3" t="s">
        <v>5</v>
      </c>
      <c r="F6" s="3"/>
    </row>
    <row r="7" spans="1:15" x14ac:dyDescent="0.25">
      <c r="A7">
        <v>4.19999957084655E-2</v>
      </c>
      <c r="B7">
        <v>3.7276146411895699</v>
      </c>
      <c r="C7">
        <f t="shared" si="0"/>
        <v>1.8731291572926578E-2</v>
      </c>
      <c r="E7" t="s">
        <v>6</v>
      </c>
      <c r="F7">
        <v>0.99997604678937579</v>
      </c>
    </row>
    <row r="8" spans="1:15" x14ac:dyDescent="0.25">
      <c r="A8">
        <v>5.5999994277954102E-2</v>
      </c>
      <c r="B8">
        <v>3.69162845611572</v>
      </c>
      <c r="C8">
        <f t="shared" si="0"/>
        <v>2.0352355534008035E-2</v>
      </c>
      <c r="E8" t="s">
        <v>7</v>
      </c>
      <c r="F8">
        <v>0.99995209415250796</v>
      </c>
    </row>
    <row r="9" spans="1:15" x14ac:dyDescent="0.25">
      <c r="A9">
        <v>6.9999992847442599E-2</v>
      </c>
      <c r="B9">
        <v>3.6626420021057098</v>
      </c>
      <c r="C9">
        <f t="shared" si="0"/>
        <v>2.1760150645062624E-2</v>
      </c>
      <c r="E9" t="s">
        <v>8</v>
      </c>
      <c r="F9">
        <v>0.99995059709477374</v>
      </c>
      <c r="N9" t="s">
        <v>1</v>
      </c>
      <c r="O9">
        <v>3.8477871417999201</v>
      </c>
    </row>
    <row r="10" spans="1:15" x14ac:dyDescent="0.25">
      <c r="A10">
        <v>8.3999991416931097E-2</v>
      </c>
      <c r="B10">
        <v>3.6300265789031898</v>
      </c>
      <c r="C10">
        <f t="shared" si="0"/>
        <v>2.3460543839646568E-2</v>
      </c>
      <c r="E10" t="s">
        <v>9</v>
      </c>
      <c r="F10">
        <v>1.0841873045883406E-4</v>
      </c>
    </row>
    <row r="11" spans="1:15" ht="15.75" thickBot="1" x14ac:dyDescent="0.3">
      <c r="A11">
        <v>9.7999989986419594E-2</v>
      </c>
      <c r="B11">
        <v>3.6022267341613698</v>
      </c>
      <c r="C11">
        <f t="shared" si="0"/>
        <v>2.501489394610364E-2</v>
      </c>
      <c r="E11" s="1" t="s">
        <v>10</v>
      </c>
      <c r="F11" s="1">
        <v>34</v>
      </c>
      <c r="N11" t="s">
        <v>2</v>
      </c>
      <c r="O11">
        <v>4</v>
      </c>
    </row>
    <row r="12" spans="1:15" x14ac:dyDescent="0.25">
      <c r="A12">
        <v>0.11199998855590799</v>
      </c>
      <c r="B12">
        <v>3.5750877857208199</v>
      </c>
      <c r="C12">
        <f t="shared" si="0"/>
        <v>2.6631667003683454E-2</v>
      </c>
      <c r="N12" t="s">
        <v>3</v>
      </c>
      <c r="O12">
        <v>37</v>
      </c>
    </row>
    <row r="13" spans="1:15" ht="15.75" thickBot="1" x14ac:dyDescent="0.3">
      <c r="A13">
        <v>0.12599998712539601</v>
      </c>
      <c r="B13">
        <v>3.5510163307189901</v>
      </c>
      <c r="C13">
        <f t="shared" si="0"/>
        <v>2.8153379583052383E-2</v>
      </c>
      <c r="E13" t="s">
        <v>11</v>
      </c>
    </row>
    <row r="14" spans="1:15" x14ac:dyDescent="0.25">
      <c r="A14">
        <v>0.139999985694885</v>
      </c>
      <c r="B14">
        <v>3.5277187824249201</v>
      </c>
      <c r="C14">
        <f t="shared" si="0"/>
        <v>2.9709052728978745E-2</v>
      </c>
      <c r="E14" s="2"/>
      <c r="F14" s="2" t="s">
        <v>16</v>
      </c>
      <c r="G14" s="2" t="s">
        <v>17</v>
      </c>
      <c r="H14" s="2" t="s">
        <v>18</v>
      </c>
      <c r="I14" s="2" t="s">
        <v>19</v>
      </c>
      <c r="J14" s="2" t="s">
        <v>20</v>
      </c>
    </row>
    <row r="15" spans="1:15" x14ac:dyDescent="0.25">
      <c r="A15">
        <v>0.153999984264373</v>
      </c>
      <c r="B15">
        <v>3.5069296360015798</v>
      </c>
      <c r="C15">
        <f t="shared" si="0"/>
        <v>3.1170133545458355E-2</v>
      </c>
      <c r="E15" t="s">
        <v>12</v>
      </c>
      <c r="F15">
        <v>1</v>
      </c>
      <c r="G15">
        <v>7.8514393475071515E-3</v>
      </c>
      <c r="H15">
        <v>7.8514393475071515E-3</v>
      </c>
      <c r="I15">
        <v>667944.91044479446</v>
      </c>
      <c r="J15">
        <v>1.0769584061750008E-70</v>
      </c>
    </row>
    <row r="16" spans="1:15" x14ac:dyDescent="0.25">
      <c r="A16">
        <v>0.167999982833862</v>
      </c>
      <c r="B16">
        <v>3.4847626686096098</v>
      </c>
      <c r="C16">
        <f t="shared" si="0"/>
        <v>3.280698604259915E-2</v>
      </c>
      <c r="E16" t="s">
        <v>13</v>
      </c>
      <c r="F16">
        <v>32</v>
      </c>
      <c r="G16">
        <v>3.7614787565777001E-7</v>
      </c>
      <c r="H16">
        <v>1.1754621114305313E-8</v>
      </c>
    </row>
    <row r="17" spans="1:11" ht="15.75" thickBot="1" x14ac:dyDescent="0.3">
      <c r="A17">
        <v>0.18199998140335</v>
      </c>
      <c r="B17">
        <v>3.4646098613739</v>
      </c>
      <c r="C17">
        <f t="shared" si="0"/>
        <v>3.4370024055225351E-2</v>
      </c>
      <c r="E17" s="1" t="s">
        <v>14</v>
      </c>
      <c r="F17" s="1">
        <v>33</v>
      </c>
      <c r="G17" s="1">
        <v>7.8518154953828093E-3</v>
      </c>
      <c r="H17" s="1"/>
      <c r="I17" s="1"/>
      <c r="J17" s="1"/>
    </row>
    <row r="18" spans="1:11" ht="15.75" thickBot="1" x14ac:dyDescent="0.3">
      <c r="A18">
        <v>0.19599997997283899</v>
      </c>
      <c r="B18">
        <v>3.4471569061279199</v>
      </c>
      <c r="C18">
        <f t="shared" si="0"/>
        <v>3.5784378420818899E-2</v>
      </c>
    </row>
    <row r="19" spans="1:11" x14ac:dyDescent="0.25">
      <c r="A19">
        <v>0.20999997854232699</v>
      </c>
      <c r="B19">
        <v>3.4285597801208398</v>
      </c>
      <c r="C19">
        <f t="shared" si="0"/>
        <v>3.7355218574654486E-2</v>
      </c>
      <c r="E19" s="2"/>
      <c r="F19" s="2" t="s">
        <v>21</v>
      </c>
      <c r="G19" s="2" t="s">
        <v>9</v>
      </c>
      <c r="H19" s="2" t="s">
        <v>22</v>
      </c>
      <c r="I19" s="2" t="s">
        <v>23</v>
      </c>
      <c r="J19" s="2" t="s">
        <v>24</v>
      </c>
      <c r="K19" s="2" t="s">
        <v>25</v>
      </c>
    </row>
    <row r="20" spans="1:11" x14ac:dyDescent="0.25">
      <c r="A20">
        <v>0.22399997711181599</v>
      </c>
      <c r="B20">
        <v>3.4106671810150102</v>
      </c>
      <c r="C20">
        <f t="shared" si="0"/>
        <v>3.8931806000326849E-2</v>
      </c>
      <c r="E20" t="s">
        <v>15</v>
      </c>
      <c r="F20">
        <v>1.4168345828168068E-2</v>
      </c>
      <c r="G20">
        <v>3.6381720746385706E-5</v>
      </c>
      <c r="H20">
        <v>389.43583584005171</v>
      </c>
      <c r="I20">
        <v>2.1527829841822367E-60</v>
      </c>
      <c r="J20">
        <v>1.4094238688087301E-2</v>
      </c>
      <c r="K20">
        <v>1.4242452968248834E-2</v>
      </c>
    </row>
    <row r="21" spans="1:11" ht="15.75" thickBot="1" x14ac:dyDescent="0.3">
      <c r="A21">
        <v>0.23799997568130399</v>
      </c>
      <c r="B21">
        <v>3.39234399795532</v>
      </c>
      <c r="C21">
        <f t="shared" si="0"/>
        <v>4.0615181164046471E-2</v>
      </c>
      <c r="E21" s="1" t="s">
        <v>26</v>
      </c>
      <c r="F21" s="1">
        <v>0.11063863808168208</v>
      </c>
      <c r="G21" s="1">
        <v>1.3537438561857755E-4</v>
      </c>
      <c r="H21" s="1">
        <v>817.27896733293858</v>
      </c>
      <c r="I21" s="1">
        <v>1.0769584061750008E-70</v>
      </c>
      <c r="J21" s="1">
        <v>0.11036288948176518</v>
      </c>
      <c r="K21" s="1">
        <v>0.11091438668159898</v>
      </c>
    </row>
    <row r="22" spans="1:11" x14ac:dyDescent="0.25">
      <c r="A22">
        <v>0.25199997425079301</v>
      </c>
      <c r="B22">
        <v>3.37519979476928</v>
      </c>
      <c r="C22">
        <f t="shared" si="0"/>
        <v>4.2256473522145718E-2</v>
      </c>
    </row>
    <row r="23" spans="1:11" x14ac:dyDescent="0.25">
      <c r="A23">
        <v>0.26599997282028198</v>
      </c>
      <c r="B23">
        <v>3.3617563247680602</v>
      </c>
      <c r="C23">
        <f t="shared" si="0"/>
        <v>4.3591053461878783E-2</v>
      </c>
      <c r="E23" s="4" t="s">
        <v>27</v>
      </c>
      <c r="F23">
        <f>+(-F20/F21)</f>
        <v>-0.12805965505204331</v>
      </c>
    </row>
    <row r="24" spans="1:11" x14ac:dyDescent="0.25">
      <c r="A24">
        <v>0.27999997138977001</v>
      </c>
      <c r="B24">
        <v>3.3458707332611</v>
      </c>
      <c r="C24">
        <f t="shared" si="0"/>
        <v>4.5221357146953543E-2</v>
      </c>
      <c r="E24" s="4" t="s">
        <v>28</v>
      </c>
      <c r="F24" s="5">
        <f>+(F23*0.1*1000000)/100</f>
        <v>-128.05965505204333</v>
      </c>
    </row>
    <row r="25" spans="1:11" x14ac:dyDescent="0.25">
      <c r="A25">
        <v>0.29399996995925898</v>
      </c>
      <c r="B25">
        <v>3.3315892219543399</v>
      </c>
      <c r="C25">
        <f t="shared" si="0"/>
        <v>4.6739679540459135E-2</v>
      </c>
    </row>
    <row r="26" spans="1:11" x14ac:dyDescent="0.25">
      <c r="A26">
        <v>0.307999968528747</v>
      </c>
      <c r="B26">
        <v>3.3177466392517001</v>
      </c>
      <c r="C26">
        <f t="shared" si="0"/>
        <v>4.8260179387794921E-2</v>
      </c>
    </row>
    <row r="27" spans="1:11" x14ac:dyDescent="0.25">
      <c r="A27">
        <v>0.32199996709823597</v>
      </c>
      <c r="B27">
        <v>3.3040385246276802</v>
      </c>
      <c r="C27">
        <f t="shared" si="0"/>
        <v>4.981471578439952E-2</v>
      </c>
    </row>
    <row r="28" spans="1:11" x14ac:dyDescent="0.25">
      <c r="A28">
        <v>0.335999965667724</v>
      </c>
      <c r="B28">
        <v>3.29256963729858</v>
      </c>
      <c r="C28">
        <f t="shared" si="0"/>
        <v>5.1154888923238225E-2</v>
      </c>
    </row>
    <row r="29" spans="1:11" x14ac:dyDescent="0.25">
      <c r="A29">
        <v>0.34999996423721302</v>
      </c>
      <c r="B29">
        <v>3.2782056331634499</v>
      </c>
      <c r="C29">
        <f t="shared" si="0"/>
        <v>5.2882471438046134E-2</v>
      </c>
    </row>
    <row r="30" spans="1:11" x14ac:dyDescent="0.25">
      <c r="A30">
        <v>0.36399996280670099</v>
      </c>
      <c r="B30">
        <v>3.2637519836425701</v>
      </c>
      <c r="C30">
        <f t="shared" si="0"/>
        <v>5.467968172019403E-2</v>
      </c>
    </row>
    <row r="31" spans="1:11" x14ac:dyDescent="0.25">
      <c r="A31">
        <v>0.37799996137619002</v>
      </c>
      <c r="B31">
        <v>3.2525937557220401</v>
      </c>
      <c r="C31">
        <f t="shared" si="0"/>
        <v>5.6110583158972265E-2</v>
      </c>
    </row>
    <row r="32" spans="1:11" x14ac:dyDescent="0.25">
      <c r="A32">
        <v>0.39199995994567799</v>
      </c>
      <c r="B32">
        <v>3.2412552833557098</v>
      </c>
      <c r="C32">
        <f t="shared" si="0"/>
        <v>5.760283028275847E-2</v>
      </c>
    </row>
    <row r="33" spans="1:3" x14ac:dyDescent="0.25">
      <c r="A33">
        <v>0.40599995851516701</v>
      </c>
      <c r="B33">
        <v>3.22916483879089</v>
      </c>
      <c r="C33">
        <f t="shared" si="0"/>
        <v>5.9237241552269441E-2</v>
      </c>
    </row>
    <row r="34" spans="1:3" x14ac:dyDescent="0.25">
      <c r="A34">
        <v>0.41999995708465498</v>
      </c>
      <c r="B34">
        <v>3.2192797660827601</v>
      </c>
      <c r="C34">
        <f t="shared" si="0"/>
        <v>6.0609465036597754E-2</v>
      </c>
    </row>
    <row r="35" spans="1:3" x14ac:dyDescent="0.25">
      <c r="A35">
        <v>0.43399995565414401</v>
      </c>
      <c r="B35">
        <v>3.2095925807952801</v>
      </c>
      <c r="C35">
        <f t="shared" si="0"/>
        <v>6.1985224539551985E-2</v>
      </c>
    </row>
    <row r="36" spans="1:3" x14ac:dyDescent="0.25">
      <c r="A36">
        <v>0.44799995422363198</v>
      </c>
      <c r="B36">
        <v>3.19895911216735</v>
      </c>
      <c r="C36">
        <f t="shared" si="0"/>
        <v>6.3530486586615198E-2</v>
      </c>
    </row>
    <row r="37" spans="1:3" x14ac:dyDescent="0.25">
      <c r="A37">
        <v>0.461999952793121</v>
      </c>
      <c r="B37">
        <v>3.18828868865966</v>
      </c>
      <c r="C37">
        <f t="shared" si="0"/>
        <v>6.5119810936966713E-2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46"/>
  <sheetViews>
    <sheetView workbookViewId="0">
      <selection activeCell="B4" sqref="B4"/>
    </sheetView>
  </sheetViews>
  <sheetFormatPr defaultRowHeight="15" x14ac:dyDescent="0.25"/>
  <sheetData>
    <row r="1" spans="1:15" x14ac:dyDescent="0.25">
      <c r="A1" t="str">
        <f ca="1">MID(CELL("filename",A1),FIND("]",CELL("filename",A1))+1,3)</f>
        <v>CCB</v>
      </c>
      <c r="C1" t="str">
        <f ca="1">A1</f>
        <v>CCB</v>
      </c>
    </row>
    <row r="2" spans="1:15" x14ac:dyDescent="0.25">
      <c r="A2">
        <v>100</v>
      </c>
    </row>
    <row r="3" spans="1:15" x14ac:dyDescent="0.25">
      <c r="A3" t="s">
        <v>0</v>
      </c>
    </row>
    <row r="4" spans="1:15" x14ac:dyDescent="0.25">
      <c r="A4">
        <v>0</v>
      </c>
      <c r="B4">
        <v>4.94817686080932</v>
      </c>
      <c r="C4">
        <f>(10^-B4)*(100+A4)</f>
        <v>1.1267385130496177E-3</v>
      </c>
      <c r="E4" t="s">
        <v>4</v>
      </c>
    </row>
    <row r="5" spans="1:15" ht="15.75" thickBot="1" x14ac:dyDescent="0.3">
      <c r="A5">
        <v>1.3999998569488499E-2</v>
      </c>
      <c r="B5">
        <v>4.6187925338745099</v>
      </c>
      <c r="C5">
        <f t="shared" ref="C5:C46" si="0">(10^-B5)*(100+A5)</f>
        <v>2.4058484303177228E-3</v>
      </c>
    </row>
    <row r="6" spans="1:15" x14ac:dyDescent="0.25">
      <c r="A6">
        <v>2.7999997138976999E-2</v>
      </c>
      <c r="B6">
        <v>4.4069476127624503</v>
      </c>
      <c r="C6">
        <f t="shared" si="0"/>
        <v>3.9189883518829446E-3</v>
      </c>
      <c r="E6" s="3" t="s">
        <v>5</v>
      </c>
      <c r="F6" s="3"/>
    </row>
    <row r="7" spans="1:15" x14ac:dyDescent="0.25">
      <c r="A7">
        <v>4.19999957084655E-2</v>
      </c>
      <c r="B7">
        <v>4.2657127380370996</v>
      </c>
      <c r="C7">
        <f t="shared" si="0"/>
        <v>5.4258730380569156E-3</v>
      </c>
      <c r="E7" t="s">
        <v>6</v>
      </c>
      <c r="F7">
        <v>0.99901933399613041</v>
      </c>
    </row>
    <row r="8" spans="1:15" x14ac:dyDescent="0.25">
      <c r="A8">
        <v>5.5999994277954102E-2</v>
      </c>
      <c r="B8">
        <v>4.1552457809448198</v>
      </c>
      <c r="C8">
        <f t="shared" si="0"/>
        <v>6.9983773514037412E-3</v>
      </c>
      <c r="E8" t="s">
        <v>7</v>
      </c>
      <c r="F8">
        <v>0.99803962969807203</v>
      </c>
    </row>
    <row r="9" spans="1:15" x14ac:dyDescent="0.25">
      <c r="A9">
        <v>6.9999992847442599E-2</v>
      </c>
      <c r="B9">
        <v>4.0695371627807599</v>
      </c>
      <c r="C9">
        <f t="shared" si="0"/>
        <v>8.5264203017951096E-3</v>
      </c>
      <c r="E9" t="s">
        <v>8</v>
      </c>
      <c r="F9">
        <v>0.99798361911801692</v>
      </c>
      <c r="N9" t="s">
        <v>1</v>
      </c>
      <c r="O9">
        <v>3.9959819316864</v>
      </c>
    </row>
    <row r="10" spans="1:15" x14ac:dyDescent="0.25">
      <c r="A10">
        <v>8.3999991416931097E-2</v>
      </c>
      <c r="B10">
        <v>3.9959819316864</v>
      </c>
      <c r="C10">
        <f t="shared" si="0"/>
        <v>1.0101426833441774E-2</v>
      </c>
      <c r="E10" t="s">
        <v>9</v>
      </c>
      <c r="F10">
        <v>7.615212799728043E-4</v>
      </c>
    </row>
    <row r="11" spans="1:15" ht="15.75" thickBot="1" x14ac:dyDescent="0.3">
      <c r="A11">
        <v>9.7999989986419594E-2</v>
      </c>
      <c r="B11">
        <v>3.9331879615783598</v>
      </c>
      <c r="C11">
        <f t="shared" si="0"/>
        <v>1.1674477125290865E-2</v>
      </c>
      <c r="E11" s="1" t="s">
        <v>10</v>
      </c>
      <c r="F11" s="1">
        <v>37</v>
      </c>
      <c r="N11" t="s">
        <v>2</v>
      </c>
      <c r="O11">
        <v>10</v>
      </c>
    </row>
    <row r="12" spans="1:15" x14ac:dyDescent="0.25">
      <c r="A12">
        <v>0.11199998855590799</v>
      </c>
      <c r="B12">
        <v>3.8788709640502899</v>
      </c>
      <c r="C12">
        <f t="shared" si="0"/>
        <v>1.3231685616348448E-2</v>
      </c>
      <c r="N12" t="s">
        <v>3</v>
      </c>
      <c r="O12">
        <v>46</v>
      </c>
    </row>
    <row r="13" spans="1:15" ht="15.75" thickBot="1" x14ac:dyDescent="0.3">
      <c r="A13">
        <v>0.12599998712539601</v>
      </c>
      <c r="B13">
        <v>3.83055543899536</v>
      </c>
      <c r="C13">
        <f t="shared" si="0"/>
        <v>1.4790791926121661E-2</v>
      </c>
      <c r="E13" t="s">
        <v>11</v>
      </c>
    </row>
    <row r="14" spans="1:15" x14ac:dyDescent="0.25">
      <c r="A14">
        <v>0.139999985694885</v>
      </c>
      <c r="B14">
        <v>3.7860023975372301</v>
      </c>
      <c r="C14">
        <f t="shared" si="0"/>
        <v>1.6390990155976788E-2</v>
      </c>
      <c r="E14" s="2"/>
      <c r="F14" s="2" t="s">
        <v>16</v>
      </c>
      <c r="G14" s="2" t="s">
        <v>17</v>
      </c>
      <c r="H14" s="2" t="s">
        <v>18</v>
      </c>
      <c r="I14" s="2" t="s">
        <v>19</v>
      </c>
      <c r="J14" s="2" t="s">
        <v>20</v>
      </c>
    </row>
    <row r="15" spans="1:15" x14ac:dyDescent="0.25">
      <c r="A15">
        <v>0.153999984264373</v>
      </c>
      <c r="B15">
        <v>3.7769024372100799</v>
      </c>
      <c r="C15">
        <f t="shared" si="0"/>
        <v>1.6740401188197897E-2</v>
      </c>
      <c r="E15" t="s">
        <v>12</v>
      </c>
      <c r="F15">
        <v>1</v>
      </c>
      <c r="G15">
        <v>1.0333365799915162E-2</v>
      </c>
      <c r="H15">
        <v>1.0333365799915162E-2</v>
      </c>
      <c r="I15">
        <v>17818.769752367887</v>
      </c>
      <c r="J15">
        <v>5.5350865796734887E-49</v>
      </c>
    </row>
    <row r="16" spans="1:15" x14ac:dyDescent="0.25">
      <c r="A16">
        <v>0.167999982833862</v>
      </c>
      <c r="B16">
        <v>3.7779633998870801</v>
      </c>
      <c r="C16">
        <f t="shared" si="0"/>
        <v>1.6701889366139352E-2</v>
      </c>
      <c r="E16" t="s">
        <v>13</v>
      </c>
      <c r="F16">
        <v>35</v>
      </c>
      <c r="G16">
        <v>2.0297013094799637E-5</v>
      </c>
      <c r="H16">
        <v>5.7991465985141822E-7</v>
      </c>
    </row>
    <row r="17" spans="1:11" ht="15.75" thickBot="1" x14ac:dyDescent="0.3">
      <c r="A17">
        <v>0.18199998140335</v>
      </c>
      <c r="B17">
        <v>3.77650547027587</v>
      </c>
      <c r="C17">
        <f t="shared" si="0"/>
        <v>1.6760394133963373E-2</v>
      </c>
      <c r="E17" s="1" t="s">
        <v>14</v>
      </c>
      <c r="F17" s="1">
        <v>36</v>
      </c>
      <c r="G17" s="1">
        <v>1.0353662813009963E-2</v>
      </c>
      <c r="H17" s="1"/>
      <c r="I17" s="1"/>
      <c r="J17" s="1"/>
    </row>
    <row r="18" spans="1:11" ht="15.75" thickBot="1" x14ac:dyDescent="0.3">
      <c r="A18">
        <v>0.19599997997283899</v>
      </c>
      <c r="B18">
        <v>3.66619443893432</v>
      </c>
      <c r="C18">
        <f t="shared" si="0"/>
        <v>2.1610058624765456E-2</v>
      </c>
    </row>
    <row r="19" spans="1:11" x14ac:dyDescent="0.25">
      <c r="A19">
        <v>0.20999997854232699</v>
      </c>
      <c r="B19">
        <v>3.6286969184875399</v>
      </c>
      <c r="C19">
        <f t="shared" si="0"/>
        <v>2.3562108067631312E-2</v>
      </c>
      <c r="E19" s="2"/>
      <c r="F19" s="2" t="s">
        <v>21</v>
      </c>
      <c r="G19" s="2" t="s">
        <v>9</v>
      </c>
      <c r="H19" s="2" t="s">
        <v>22</v>
      </c>
      <c r="I19" s="2" t="s">
        <v>23</v>
      </c>
      <c r="J19" s="2" t="s">
        <v>24</v>
      </c>
      <c r="K19" s="2" t="s">
        <v>25</v>
      </c>
    </row>
    <row r="20" spans="1:11" x14ac:dyDescent="0.25">
      <c r="A20">
        <v>0.22399997711181599</v>
      </c>
      <c r="B20">
        <v>3.6013693809509202</v>
      </c>
      <c r="C20">
        <f t="shared" si="0"/>
        <v>2.5095875470214867E-2</v>
      </c>
      <c r="E20" t="s">
        <v>15</v>
      </c>
      <c r="F20">
        <v>-6.3286042100013651E-5</v>
      </c>
      <c r="G20">
        <v>3.0800183323915673E-4</v>
      </c>
      <c r="H20">
        <v>-0.20547293967199673</v>
      </c>
      <c r="I20">
        <v>0.83839306480434217</v>
      </c>
      <c r="J20">
        <v>-6.88563005674466E-4</v>
      </c>
      <c r="K20">
        <v>5.619909214744387E-4</v>
      </c>
    </row>
    <row r="21" spans="1:11" ht="15.75" thickBot="1" x14ac:dyDescent="0.3">
      <c r="A21">
        <v>0.23799997568130399</v>
      </c>
      <c r="B21">
        <v>3.57371830940246</v>
      </c>
      <c r="C21">
        <f t="shared" si="0"/>
        <v>2.6749402355002918E-2</v>
      </c>
      <c r="E21" s="1" t="s">
        <v>26</v>
      </c>
      <c r="F21" s="1">
        <v>0.11179943861634337</v>
      </c>
      <c r="G21" s="1">
        <v>8.3753075698380676E-4</v>
      </c>
      <c r="H21" s="1">
        <v>133.48696472827558</v>
      </c>
      <c r="I21" s="1">
        <v>5.5350865796734887E-49</v>
      </c>
      <c r="J21" s="1">
        <v>0.11009916078643703</v>
      </c>
      <c r="K21" s="1">
        <v>0.1134997164462497</v>
      </c>
    </row>
    <row r="22" spans="1:11" x14ac:dyDescent="0.25">
      <c r="A22">
        <v>0.25199997425079301</v>
      </c>
      <c r="B22">
        <v>3.5492537021636901</v>
      </c>
      <c r="C22">
        <f t="shared" si="0"/>
        <v>2.8303447838618677E-2</v>
      </c>
    </row>
    <row r="23" spans="1:11" x14ac:dyDescent="0.25">
      <c r="A23">
        <v>0.26599997282028198</v>
      </c>
      <c r="B23">
        <v>3.5262017250061</v>
      </c>
      <c r="C23">
        <f t="shared" si="0"/>
        <v>2.9850524362625076E-2</v>
      </c>
      <c r="E23" s="4" t="s">
        <v>27</v>
      </c>
      <c r="F23">
        <f>+(-F20/F21)</f>
        <v>5.660676196880491E-4</v>
      </c>
    </row>
    <row r="24" spans="1:11" x14ac:dyDescent="0.25">
      <c r="A24">
        <v>0.27999997138977001</v>
      </c>
      <c r="B24">
        <v>3.50487208366394</v>
      </c>
      <c r="C24">
        <f t="shared" si="0"/>
        <v>3.1357558524898188E-2</v>
      </c>
      <c r="E24" s="4" t="s">
        <v>28</v>
      </c>
      <c r="F24" s="5">
        <f>+(F23*0.1*1000000)/100</f>
        <v>0.56606761968804908</v>
      </c>
    </row>
    <row r="25" spans="1:11" x14ac:dyDescent="0.25">
      <c r="A25">
        <v>0.29399996995925898</v>
      </c>
      <c r="B25">
        <v>3.48345518112182</v>
      </c>
      <c r="C25">
        <f t="shared" si="0"/>
        <v>3.2947295516025453E-2</v>
      </c>
    </row>
    <row r="26" spans="1:11" x14ac:dyDescent="0.25">
      <c r="A26">
        <v>0.307999968528747</v>
      </c>
      <c r="B26">
        <v>3.46200394630432</v>
      </c>
      <c r="C26">
        <f t="shared" si="0"/>
        <v>3.4620363608099759E-2</v>
      </c>
    </row>
    <row r="27" spans="1:11" x14ac:dyDescent="0.25">
      <c r="A27">
        <v>0.32199996709823597</v>
      </c>
      <c r="B27">
        <v>3.44340467453002</v>
      </c>
      <c r="C27">
        <f t="shared" si="0"/>
        <v>3.6140279495599711E-2</v>
      </c>
    </row>
    <row r="28" spans="1:11" x14ac:dyDescent="0.25">
      <c r="A28">
        <v>0.335999965667724</v>
      </c>
      <c r="B28">
        <v>3.4246027469635001</v>
      </c>
      <c r="C28">
        <f t="shared" si="0"/>
        <v>3.774453125773633E-2</v>
      </c>
    </row>
    <row r="29" spans="1:11" x14ac:dyDescent="0.25">
      <c r="A29">
        <v>0.34999996423721302</v>
      </c>
      <c r="B29">
        <v>3.4087040424346902</v>
      </c>
      <c r="C29">
        <f t="shared" si="0"/>
        <v>3.9157353721901475E-2</v>
      </c>
    </row>
    <row r="30" spans="1:11" x14ac:dyDescent="0.25">
      <c r="A30">
        <v>0.36399996280670099</v>
      </c>
      <c r="B30">
        <v>3.39040970802307</v>
      </c>
      <c r="C30">
        <f t="shared" si="0"/>
        <v>4.0847760733406777E-2</v>
      </c>
    </row>
    <row r="31" spans="1:11" x14ac:dyDescent="0.25">
      <c r="A31">
        <v>0.37799996137619002</v>
      </c>
      <c r="B31">
        <v>3.3742883205413801</v>
      </c>
      <c r="C31">
        <f t="shared" si="0"/>
        <v>4.2398473193209954E-2</v>
      </c>
    </row>
    <row r="32" spans="1:11" x14ac:dyDescent="0.25">
      <c r="A32">
        <v>0.39199995994567799</v>
      </c>
      <c r="B32">
        <v>3.3609728813171298</v>
      </c>
      <c r="C32">
        <f t="shared" si="0"/>
        <v>4.3724638221215265E-2</v>
      </c>
    </row>
    <row r="33" spans="1:3" x14ac:dyDescent="0.25">
      <c r="A33">
        <v>0.40599995851516701</v>
      </c>
      <c r="B33">
        <v>3.34643054008483</v>
      </c>
      <c r="C33">
        <f t="shared" si="0"/>
        <v>4.5219850856003191E-2</v>
      </c>
    </row>
    <row r="34" spans="1:3" x14ac:dyDescent="0.25">
      <c r="A34">
        <v>0.41999995708465498</v>
      </c>
      <c r="B34">
        <v>3.3297541141510001</v>
      </c>
      <c r="C34">
        <f t="shared" si="0"/>
        <v>4.6996563526602336E-2</v>
      </c>
    </row>
    <row r="35" spans="1:3" x14ac:dyDescent="0.25">
      <c r="A35">
        <v>0.43399995565414401</v>
      </c>
      <c r="B35">
        <v>3.3164970874786301</v>
      </c>
      <c r="C35">
        <f t="shared" si="0"/>
        <v>4.8460029265695294E-2</v>
      </c>
    </row>
    <row r="36" spans="1:3" x14ac:dyDescent="0.25">
      <c r="A36">
        <v>0.44799995422363198</v>
      </c>
      <c r="B36">
        <v>3.3013229370117099</v>
      </c>
      <c r="C36">
        <f t="shared" si="0"/>
        <v>5.0190134187994319E-2</v>
      </c>
    </row>
    <row r="37" spans="1:3" x14ac:dyDescent="0.25">
      <c r="A37">
        <v>0.461999952793121</v>
      </c>
      <c r="B37">
        <v>3.2888033390045099</v>
      </c>
      <c r="C37">
        <f t="shared" si="0"/>
        <v>5.1665243508572822E-2</v>
      </c>
    </row>
    <row r="38" spans="1:3" x14ac:dyDescent="0.25">
      <c r="A38">
        <v>0.47599995136260898</v>
      </c>
      <c r="B38">
        <v>3.2754313945770201</v>
      </c>
      <c r="C38">
        <f t="shared" si="0"/>
        <v>5.3288186727859815E-2</v>
      </c>
    </row>
    <row r="39" spans="1:3" x14ac:dyDescent="0.25">
      <c r="A39">
        <v>0.489999949932098</v>
      </c>
      <c r="B39">
        <v>3.2636203765869101</v>
      </c>
      <c r="C39">
        <f t="shared" si="0"/>
        <v>5.4764921491604196E-2</v>
      </c>
    </row>
    <row r="40" spans="1:3" x14ac:dyDescent="0.25">
      <c r="A40">
        <v>0.50399994850158603</v>
      </c>
      <c r="B40">
        <v>3.2519893646240199</v>
      </c>
      <c r="C40">
        <f t="shared" si="0"/>
        <v>5.6259255659902314E-2</v>
      </c>
    </row>
    <row r="41" spans="1:3" x14ac:dyDescent="0.25">
      <c r="A41">
        <v>0.517999947071075</v>
      </c>
      <c r="B41">
        <v>3.2401499748229901</v>
      </c>
      <c r="C41">
        <f t="shared" si="0"/>
        <v>5.7822100448776177E-2</v>
      </c>
    </row>
    <row r="42" spans="1:3" x14ac:dyDescent="0.25">
      <c r="A42">
        <v>0.53199994564056396</v>
      </c>
      <c r="B42">
        <v>3.2288298606872501</v>
      </c>
      <c r="C42">
        <f t="shared" si="0"/>
        <v>5.9357344253124208E-2</v>
      </c>
    </row>
    <row r="43" spans="1:3" x14ac:dyDescent="0.25">
      <c r="A43">
        <v>0.54599994421005205</v>
      </c>
      <c r="B43">
        <v>3.2178764343261701</v>
      </c>
      <c r="C43">
        <f t="shared" si="0"/>
        <v>6.0881923249153848E-2</v>
      </c>
    </row>
    <row r="44" spans="1:3" x14ac:dyDescent="0.25">
      <c r="A44">
        <v>0.55999994277954102</v>
      </c>
      <c r="B44">
        <v>3.2065782546996999</v>
      </c>
      <c r="C44">
        <f t="shared" si="0"/>
        <v>6.2495250003156456E-2</v>
      </c>
    </row>
    <row r="45" spans="1:3" x14ac:dyDescent="0.25">
      <c r="A45">
        <v>0.57399994134902899</v>
      </c>
      <c r="B45">
        <v>3.19621586799621</v>
      </c>
      <c r="C45">
        <f t="shared" si="0"/>
        <v>6.4013246705615978E-2</v>
      </c>
    </row>
    <row r="46" spans="1:3" x14ac:dyDescent="0.25">
      <c r="A46">
        <v>0.58799993991851796</v>
      </c>
      <c r="B46">
        <v>3.1854231357574401</v>
      </c>
      <c r="C46">
        <f t="shared" si="0"/>
        <v>6.5633118082009112E-2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Results</vt:lpstr>
      <vt:lpstr>QC</vt:lpstr>
      <vt:lpstr>Processed Results</vt:lpstr>
      <vt:lpstr>Blank_DESKTOP-2T11CM2_20241203</vt:lpstr>
      <vt:lpstr>CCV1_DESKTOP-2T11CM2_20241203-</vt:lpstr>
      <vt:lpstr>CCB1_DESKTOP-2T11CM2_20241203-</vt:lpstr>
      <vt:lpstr>Field Blank_DESKTOP-2T11CM2_20</vt:lpstr>
      <vt:lpstr>MWR-NE_DESKTOP-2T11CM2_2024120</vt:lpstr>
      <vt:lpstr>MWR-SE_DESKTOP-2T11CM2_2024120</vt:lpstr>
      <vt:lpstr>MWR-N#S (Filtered)_DESKTOP-2T1</vt:lpstr>
      <vt:lpstr>CCV2_DESKTOP-2T11CM2_20241203-</vt:lpstr>
      <vt:lpstr>CCB2_DESKTOP-2T11CM2_20241203-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Schrader, Collin</dc:creator>
  <cp:lastModifiedBy>Michael J Glinski</cp:lastModifiedBy>
  <dcterms:created xsi:type="dcterms:W3CDTF">2020-01-12T14:44:38Z</dcterms:created>
  <dcterms:modified xsi:type="dcterms:W3CDTF">2024-12-03T16:55:22Z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