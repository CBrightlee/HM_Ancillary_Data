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jglinsk\Downloads\"/>
    </mc:Choice>
  </mc:AlternateContent>
  <xr:revisionPtr revIDLastSave="0" documentId="13_ncr:1_{65401F73-0D40-488B-8107-EDCC1F69FA86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Mario Data" sheetId="1" r:id="rId1"/>
    <sheet name="calibration" sheetId="2" r:id="rId2"/>
    <sheet name="qaqc" sheetId="4" r:id="rId3"/>
    <sheet name="process" sheetId="3" r:id="rId4"/>
    <sheet name="results" sheetId="6" r:id="rId5"/>
    <sheet name="discrepancy report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3" l="1"/>
  <c r="I24" i="3"/>
  <c r="J24" i="3"/>
  <c r="L24" i="3"/>
  <c r="I23" i="3"/>
  <c r="J23" i="3"/>
  <c r="L23" i="3"/>
  <c r="H23" i="3"/>
  <c r="I22" i="3"/>
  <c r="J22" i="3"/>
  <c r="K22" i="3"/>
  <c r="L22" i="3"/>
  <c r="H22" i="3"/>
  <c r="J21" i="3"/>
  <c r="K21" i="3"/>
  <c r="L21" i="3"/>
  <c r="I21" i="3"/>
  <c r="I20" i="3"/>
  <c r="J20" i="3"/>
  <c r="L20" i="3"/>
  <c r="H20" i="3"/>
  <c r="H18" i="3"/>
  <c r="I18" i="3"/>
  <c r="J18" i="3"/>
  <c r="K18" i="3"/>
  <c r="L18" i="3"/>
  <c r="I17" i="3"/>
  <c r="J17" i="3"/>
  <c r="K17" i="3"/>
  <c r="L17" i="3"/>
  <c r="H17" i="3"/>
  <c r="L16" i="3"/>
  <c r="K16" i="3"/>
  <c r="J16" i="3"/>
  <c r="I16" i="3"/>
  <c r="K6" i="4"/>
  <c r="I6" i="4"/>
  <c r="G6" i="4"/>
  <c r="E6" i="4"/>
  <c r="C6" i="4"/>
  <c r="I4" i="4"/>
  <c r="K4" i="4"/>
  <c r="G4" i="4"/>
  <c r="E4" i="4"/>
  <c r="C4" i="4"/>
  <c r="I8" i="3"/>
  <c r="J8" i="3"/>
  <c r="K8" i="3"/>
  <c r="L8" i="3"/>
  <c r="H9" i="3"/>
  <c r="I9" i="3"/>
  <c r="J9" i="3"/>
  <c r="K9" i="3"/>
  <c r="L9" i="3"/>
  <c r="H10" i="3"/>
  <c r="I10" i="3"/>
  <c r="J10" i="3"/>
  <c r="K10" i="3"/>
  <c r="L10" i="3"/>
  <c r="H11" i="3"/>
  <c r="I11" i="3"/>
  <c r="J11" i="3"/>
  <c r="K11" i="3"/>
  <c r="L11" i="3"/>
  <c r="J7" i="3"/>
  <c r="K7" i="3"/>
  <c r="L7" i="3"/>
  <c r="H7" i="3"/>
  <c r="J5" i="3"/>
  <c r="K5" i="3"/>
  <c r="L5" i="3"/>
  <c r="J4" i="3"/>
  <c r="K4" i="3"/>
  <c r="L4" i="3"/>
  <c r="I4" i="3"/>
  <c r="I5" i="3"/>
  <c r="J3" i="3"/>
  <c r="K3" i="3"/>
  <c r="L3" i="3"/>
  <c r="I3" i="3"/>
  <c r="K7" i="4"/>
  <c r="I3" i="4"/>
  <c r="I7" i="4"/>
  <c r="G7" i="4"/>
  <c r="E7" i="4"/>
  <c r="C7" i="4"/>
  <c r="K3" i="4"/>
  <c r="G3" i="4"/>
  <c r="E3" i="4"/>
  <c r="C3" i="4"/>
  <c r="E5" i="2"/>
  <c r="E6" i="2"/>
  <c r="E7" i="2"/>
  <c r="E8" i="2"/>
  <c r="E9" i="2"/>
  <c r="E4" i="2"/>
  <c r="E20" i="2"/>
  <c r="E19" i="2"/>
  <c r="E18" i="2"/>
  <c r="E17" i="2"/>
  <c r="E16" i="2"/>
  <c r="E15" i="2"/>
  <c r="E31" i="2"/>
  <c r="E30" i="2"/>
  <c r="E29" i="2"/>
  <c r="E28" i="2"/>
  <c r="E27" i="2"/>
  <c r="E26" i="2"/>
  <c r="E42" i="2"/>
  <c r="E41" i="2"/>
  <c r="E40" i="2"/>
  <c r="E39" i="2"/>
  <c r="E38" i="2"/>
  <c r="E37" i="2"/>
  <c r="E49" i="2"/>
  <c r="E50" i="2"/>
  <c r="E51" i="2"/>
  <c r="E52" i="2"/>
  <c r="E53" i="2"/>
  <c r="E48" i="2"/>
</calcChain>
</file>

<file path=xl/sharedStrings.xml><?xml version="1.0" encoding="utf-8"?>
<sst xmlns="http://schemas.openxmlformats.org/spreadsheetml/2006/main" count="228" uniqueCount="89">
  <si>
    <t>Ident</t>
  </si>
  <si>
    <t>Sample type</t>
  </si>
  <si>
    <t>Anions.Fluoride.Concentration</t>
  </si>
  <si>
    <t>Anions.Fluoride.Area</t>
  </si>
  <si>
    <t>Anions.Chloride.Concentration</t>
  </si>
  <si>
    <t>Anions.Chloride.Area</t>
  </si>
  <si>
    <t>Anions.Nitrate.Concentration</t>
  </si>
  <si>
    <t>Anions.Nitrate.Area</t>
  </si>
  <si>
    <t>Anions.Phosphate.Concentration</t>
  </si>
  <si>
    <t>Anions.Phosphate.Area</t>
  </si>
  <si>
    <t>Anions.Sulfate.Concentration</t>
  </si>
  <si>
    <t>Anions.Sulfate.Area</t>
  </si>
  <si>
    <t>christie:mwr-ne (dil 100)</t>
  </si>
  <si>
    <t>Sample</t>
  </si>
  <si>
    <t>christie:mwr-se (dl 100)</t>
  </si>
  <si>
    <t>christie:mwr-n/s (dil 100)</t>
  </si>
  <si>
    <t>christie:blk</t>
  </si>
  <si>
    <t>usgs-n-166</t>
  </si>
  <si>
    <t>n-165-1:10</t>
  </si>
  <si>
    <t>usgs-m-254</t>
  </si>
  <si>
    <t>usgs-p-84-2</t>
  </si>
  <si>
    <t>usgs-p-84-1</t>
  </si>
  <si>
    <t>blk</t>
  </si>
  <si>
    <t>ccv</t>
  </si>
  <si>
    <t>qcb</t>
  </si>
  <si>
    <t>qcs-50%diluted</t>
  </si>
  <si>
    <t>mdl</t>
  </si>
  <si>
    <t>std6</t>
  </si>
  <si>
    <t>Standard 6</t>
  </si>
  <si>
    <t>std5</t>
  </si>
  <si>
    <t>Standard 5</t>
  </si>
  <si>
    <t>std4</t>
  </si>
  <si>
    <t>Standard 4</t>
  </si>
  <si>
    <t>std3</t>
  </si>
  <si>
    <t>Standard 3</t>
  </si>
  <si>
    <t>std2</t>
  </si>
  <si>
    <t>Standard 2</t>
  </si>
  <si>
    <t>std1</t>
  </si>
  <si>
    <t>Standard 1</t>
  </si>
  <si>
    <t>true concentration umol/L</t>
  </si>
  <si>
    <t>%R</t>
  </si>
  <si>
    <t>F area</t>
  </si>
  <si>
    <t>Cl Area</t>
  </si>
  <si>
    <t>NO3 area</t>
  </si>
  <si>
    <t>PO4 area</t>
  </si>
  <si>
    <t>SO4 area</t>
  </si>
  <si>
    <t>Anions. Sulfate.Concentration</t>
  </si>
  <si>
    <t>Anions. Phosphate.Concentration</t>
  </si>
  <si>
    <t>Anions. Nitrate.Concentration</t>
  </si>
  <si>
    <t>Anions. Chloride.Concentration</t>
  </si>
  <si>
    <t>Anions. Fluoride.Concentration</t>
  </si>
  <si>
    <t>F  umol</t>
  </si>
  <si>
    <t>Cl umol</t>
  </si>
  <si>
    <t>NO3 umol</t>
  </si>
  <si>
    <t>PO4 umol</t>
  </si>
  <si>
    <t>SO4 umol</t>
  </si>
  <si>
    <t>&lt;DL</t>
  </si>
  <si>
    <t>Attachment 1</t>
  </si>
  <si>
    <t>CESE</t>
  </si>
  <si>
    <t>Corrective Action Log</t>
  </si>
  <si>
    <t xml:space="preserve">Analyst: </t>
  </si>
  <si>
    <t>Ilana Robbins</t>
  </si>
  <si>
    <t xml:space="preserve">Date of Analysis: </t>
  </si>
  <si>
    <t>Project Number(s)/Batch Numbers</t>
  </si>
  <si>
    <t>Excursions</t>
  </si>
  <si>
    <t>Affected Samples</t>
  </si>
  <si>
    <t>Criteria Comparison</t>
  </si>
  <si>
    <t>Corrective Action/Explanation</t>
  </si>
  <si>
    <t>Reviewed by:</t>
  </si>
  <si>
    <t>QA/QC Reviewer</t>
  </si>
  <si>
    <t>Date</t>
  </si>
  <si>
    <t>Project Investigator</t>
  </si>
  <si>
    <t>Method: IC Standard Method</t>
  </si>
  <si>
    <t xml:space="preserve">Instrument: </t>
  </si>
  <si>
    <t>ccb2</t>
  </si>
  <si>
    <t>ccv2</t>
  </si>
  <si>
    <t>mwr-ne (dil 100)</t>
  </si>
  <si>
    <t>mwr-se (dil 10)</t>
  </si>
  <si>
    <t>mwr-n/s (dil 10)</t>
  </si>
  <si>
    <t>usgs-n-166 (dil 100)</t>
  </si>
  <si>
    <t>usgs-m-254 (dil 100)</t>
  </si>
  <si>
    <t>ccv1</t>
  </si>
  <si>
    <t>qcs</t>
  </si>
  <si>
    <t>nd</t>
  </si>
  <si>
    <t>&lt;dl</t>
  </si>
  <si>
    <t>n-165-1:10 (reported as diluted x10)</t>
  </si>
  <si>
    <t>Comparison with the previous run</t>
  </si>
  <si>
    <t>3.491 from previous run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</si>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</sst>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33" borderId="0" xfId="0" applyFill="1"/>
    <xf numFmtId="0" fontId="14" fillId="0" borderId="0" xfId="0" applyFont="1"/>
    <xf numFmtId="0" fontId="19" fillId="0" borderId="10" xfId="0" applyFont="1" applyBorder="1" applyAlignment="1">
      <alignment horizontal="right"/>
    </xf>
    <xf numFmtId="0" fontId="19" fillId="0" borderId="14" xfId="0" applyFont="1" applyBorder="1" applyAlignment="1">
      <alignment horizontal="right"/>
    </xf>
    <xf numFmtId="14" fontId="0" fillId="0" borderId="15" xfId="0" applyNumberFormat="1" applyBorder="1"/>
    <xf numFmtId="0" fontId="0" fillId="0" borderId="15" xfId="0" applyBorder="1"/>
    <xf numFmtId="0" fontId="0" fillId="34" borderId="10" xfId="0" applyFill="1" applyBorder="1" applyAlignment="1">
      <alignment wrapText="1"/>
    </xf>
    <xf numFmtId="0" fontId="0" fillId="34" borderId="18" xfId="0" applyFill="1" applyBorder="1" applyAlignment="1">
      <alignment wrapText="1"/>
    </xf>
    <xf numFmtId="0" fontId="0" fillId="34" borderId="19" xfId="0" applyFill="1" applyBorder="1" applyAlignment="1">
      <alignment wrapText="1"/>
    </xf>
    <xf numFmtId="0" fontId="0" fillId="0" borderId="14" xfId="0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33" borderId="20" xfId="0" applyFill="1" applyBorder="1" applyAlignment="1">
      <alignment wrapText="1"/>
    </xf>
    <xf numFmtId="0" fontId="0" fillId="0" borderId="0" xfId="0" applyAlignment="1">
      <alignment horizontal="center" vertical="center"/>
    </xf>
    <xf numFmtId="0" fontId="0" fillId="35" borderId="20" xfId="0" applyFill="1" applyBorder="1" applyAlignment="1">
      <alignment wrapText="1"/>
    </xf>
    <xf numFmtId="0" fontId="20" fillId="0" borderId="1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20" xfId="0" applyBorder="1" applyAlignment="1">
      <alignment vertical="center" wrapText="1"/>
    </xf>
    <xf numFmtId="0" fontId="20" fillId="0" borderId="14" xfId="0" applyFont="1" applyBorder="1" applyAlignment="1">
      <alignment horizontal="center" vertical="center" wrapText="1"/>
    </xf>
    <xf numFmtId="164" fontId="20" fillId="0" borderId="15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 vertical="center" wrapText="1"/>
    </xf>
    <xf numFmtId="0" fontId="0" fillId="0" borderId="14" xfId="0" applyBorder="1"/>
    <xf numFmtId="0" fontId="0" fillId="0" borderId="20" xfId="0" applyBorder="1" applyAlignment="1">
      <alignment wrapText="1"/>
    </xf>
    <xf numFmtId="0" fontId="14" fillId="0" borderId="20" xfId="0" applyFont="1" applyBorder="1" applyAlignment="1">
      <alignment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4" fillId="0" borderId="23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14" fontId="0" fillId="0" borderId="24" xfId="0" applyNumberFormat="1" applyBorder="1"/>
    <xf numFmtId="0" fontId="0" fillId="0" borderId="0" xfId="0" applyAlignment="1">
      <alignment horizontal="center"/>
    </xf>
    <xf numFmtId="0" fontId="0" fillId="0" borderId="24" xfId="0" applyBorder="1"/>
    <xf numFmtId="0" fontId="0" fillId="0" borderId="25" xfId="0" applyBorder="1" applyAlignment="1">
      <alignment horizontal="center"/>
    </xf>
    <xf numFmtId="0" fontId="0" fillId="36" borderId="0" xfId="0" applyFill="1"/>
    <xf numFmtId="0" fontId="20" fillId="36" borderId="0" xfId="0" applyFont="1" applyFill="1"/>
    <xf numFmtId="0" fontId="0" fillId="37" borderId="0" xfId="0" applyFill="1"/>
    <xf numFmtId="0" fontId="0" fillId="0" borderId="24" xfId="0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workbookViewId="0">
      <selection activeCell="A3" sqref="A3:XFD19"/>
    </sheetView>
  </sheetViews>
  <sheetFormatPr defaultRowHeight="15" x14ac:dyDescent="0.25"/>
  <cols>
    <col min="1" max="1" width="21.42578125" customWidth="1"/>
    <col min="3" max="3" width="10.85546875" customWidth="1"/>
  </cols>
  <sheetData>
    <row r="1" spans="1:11" s="1" customFormat="1" ht="60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ht="15.75" customHeight="1" x14ac:dyDescent="0.25"/>
    <row r="3" spans="1:11" x14ac:dyDescent="0.25">
      <c r="A3" t="s">
        <v>74</v>
      </c>
      <c r="B3">
        <v>4.0000000000000001E-3</v>
      </c>
      <c r="C3">
        <v>0</v>
      </c>
      <c r="D3">
        <v>3.3000000000000002E-2</v>
      </c>
      <c r="E3">
        <v>2E-3</v>
      </c>
      <c r="F3">
        <v>4.0000000000000001E-3</v>
      </c>
      <c r="G3">
        <v>0</v>
      </c>
      <c r="H3">
        <v>4.7E-2</v>
      </c>
      <c r="I3">
        <v>2E-3</v>
      </c>
      <c r="J3">
        <v>1E-3</v>
      </c>
      <c r="K3">
        <v>0</v>
      </c>
    </row>
    <row r="4" spans="1:11" x14ac:dyDescent="0.25">
      <c r="A4" t="s">
        <v>75</v>
      </c>
      <c r="B4">
        <v>1.502</v>
      </c>
      <c r="C4">
        <v>6.3E-2</v>
      </c>
      <c r="D4">
        <v>19.768999999999998</v>
      </c>
      <c r="E4">
        <v>1.306</v>
      </c>
      <c r="F4">
        <v>19.975999999999999</v>
      </c>
      <c r="G4">
        <v>1.234</v>
      </c>
      <c r="H4">
        <v>8.9760000000000009</v>
      </c>
      <c r="I4">
        <v>0.41</v>
      </c>
      <c r="J4">
        <v>19.823</v>
      </c>
      <c r="K4">
        <v>2.4420000000000002</v>
      </c>
    </row>
    <row r="5" spans="1:11" x14ac:dyDescent="0.25">
      <c r="A5" t="s">
        <v>76</v>
      </c>
      <c r="B5">
        <v>8.5999999999999993E-2</v>
      </c>
      <c r="C5">
        <v>3.0000000000000001E-3</v>
      </c>
      <c r="D5">
        <v>7.8570000000000002</v>
      </c>
      <c r="E5">
        <v>0.51800000000000002</v>
      </c>
      <c r="F5">
        <v>2.7189999999999999</v>
      </c>
      <c r="G5">
        <v>0.16600000000000001</v>
      </c>
      <c r="H5">
        <v>0.10100000000000001</v>
      </c>
      <c r="I5">
        <v>5.0000000000000001E-3</v>
      </c>
      <c r="J5">
        <v>2.0920000000000001</v>
      </c>
      <c r="K5">
        <v>0.25900000000000001</v>
      </c>
    </row>
    <row r="6" spans="1:11" x14ac:dyDescent="0.25">
      <c r="A6" t="s">
        <v>77</v>
      </c>
      <c r="B6">
        <v>0.57199999999999995</v>
      </c>
      <c r="C6">
        <v>2.4E-2</v>
      </c>
      <c r="D6">
        <v>82.896000000000001</v>
      </c>
      <c r="E6">
        <v>5.5350000000000001</v>
      </c>
      <c r="F6">
        <v>3.113</v>
      </c>
      <c r="G6">
        <v>0.19</v>
      </c>
      <c r="H6">
        <v>0.152</v>
      </c>
      <c r="I6">
        <v>7.0000000000000001E-3</v>
      </c>
      <c r="J6">
        <v>5.7439999999999998</v>
      </c>
      <c r="K6">
        <v>0.70899999999999996</v>
      </c>
    </row>
    <row r="7" spans="1:11" x14ac:dyDescent="0.25">
      <c r="A7" t="s">
        <v>78</v>
      </c>
      <c r="B7">
        <v>1.5309999999999999</v>
      </c>
      <c r="C7">
        <v>6.4000000000000001E-2</v>
      </c>
      <c r="D7">
        <v>175.821</v>
      </c>
      <c r="E7">
        <v>11.914999999999999</v>
      </c>
      <c r="F7">
        <v>0.20799999999999999</v>
      </c>
      <c r="G7">
        <v>1.2999999999999999E-2</v>
      </c>
      <c r="H7">
        <v>3.0059999999999998</v>
      </c>
      <c r="I7">
        <v>0.13600000000000001</v>
      </c>
      <c r="J7">
        <v>3.1509999999999998</v>
      </c>
      <c r="K7">
        <v>0.38900000000000001</v>
      </c>
    </row>
    <row r="8" spans="1:11" x14ac:dyDescent="0.25">
      <c r="A8" t="s">
        <v>16</v>
      </c>
      <c r="D8">
        <v>4.3999999999999997E-2</v>
      </c>
      <c r="E8">
        <v>3.0000000000000001E-3</v>
      </c>
      <c r="F8">
        <v>4.1000000000000002E-2</v>
      </c>
      <c r="G8">
        <v>3.0000000000000001E-3</v>
      </c>
      <c r="H8">
        <v>4.3999999999999997E-2</v>
      </c>
      <c r="I8">
        <v>2E-3</v>
      </c>
      <c r="J8">
        <v>2.3E-2</v>
      </c>
      <c r="K8">
        <v>3.0000000000000001E-3</v>
      </c>
    </row>
    <row r="9" spans="1:11" x14ac:dyDescent="0.25">
      <c r="A9" t="s">
        <v>79</v>
      </c>
      <c r="B9">
        <v>0.26500000000000001</v>
      </c>
      <c r="C9">
        <v>1.0999999999999999E-2</v>
      </c>
      <c r="D9">
        <v>85.989000000000004</v>
      </c>
      <c r="E9">
        <v>5.7439999999999998</v>
      </c>
      <c r="F9">
        <v>0.94599999999999995</v>
      </c>
      <c r="G9">
        <v>5.8000000000000003E-2</v>
      </c>
      <c r="H9">
        <v>0.04</v>
      </c>
      <c r="I9">
        <v>2E-3</v>
      </c>
      <c r="J9">
        <v>24.713000000000001</v>
      </c>
      <c r="K9">
        <v>3.0409999999999999</v>
      </c>
    </row>
    <row r="10" spans="1:11" x14ac:dyDescent="0.25">
      <c r="A10" t="s">
        <v>18</v>
      </c>
      <c r="B10">
        <v>4.2999999999999997E-2</v>
      </c>
      <c r="C10">
        <v>2E-3</v>
      </c>
      <c r="D10">
        <v>11.57</v>
      </c>
      <c r="E10">
        <v>0.76400000000000001</v>
      </c>
      <c r="F10">
        <v>41.323999999999998</v>
      </c>
      <c r="G10">
        <v>2.5870000000000002</v>
      </c>
      <c r="H10">
        <v>3.4940000000000002</v>
      </c>
      <c r="I10">
        <v>0.158</v>
      </c>
      <c r="J10">
        <v>4.9000000000000002E-2</v>
      </c>
      <c r="K10">
        <v>6.0000000000000001E-3</v>
      </c>
    </row>
    <row r="11" spans="1:11" x14ac:dyDescent="0.25">
      <c r="A11" t="s">
        <v>80</v>
      </c>
      <c r="B11">
        <v>0.95799999999999996</v>
      </c>
      <c r="C11">
        <v>0.04</v>
      </c>
      <c r="D11">
        <v>14.055</v>
      </c>
      <c r="E11">
        <v>0.92800000000000005</v>
      </c>
      <c r="F11">
        <v>0.78600000000000003</v>
      </c>
      <c r="G11">
        <v>4.8000000000000001E-2</v>
      </c>
      <c r="H11">
        <v>0.105</v>
      </c>
      <c r="I11">
        <v>5.0000000000000001E-3</v>
      </c>
      <c r="J11">
        <v>1.0489999999999999</v>
      </c>
      <c r="K11">
        <v>0.13</v>
      </c>
    </row>
    <row r="12" spans="1:11" x14ac:dyDescent="0.25">
      <c r="A12" t="s">
        <v>20</v>
      </c>
      <c r="B12">
        <v>1.0680000000000001</v>
      </c>
      <c r="C12">
        <v>4.3999999999999997E-2</v>
      </c>
      <c r="D12">
        <v>82.337000000000003</v>
      </c>
      <c r="E12">
        <v>5.4969999999999999</v>
      </c>
      <c r="F12">
        <v>2.6040000000000001</v>
      </c>
      <c r="G12">
        <v>0.159</v>
      </c>
      <c r="H12">
        <v>3.5000000000000003E-2</v>
      </c>
      <c r="I12">
        <v>2E-3</v>
      </c>
      <c r="J12">
        <v>1.5580000000000001</v>
      </c>
      <c r="K12">
        <v>0.193</v>
      </c>
    </row>
    <row r="13" spans="1:11" x14ac:dyDescent="0.25">
      <c r="A13" t="s">
        <v>21</v>
      </c>
      <c r="B13">
        <v>1.081</v>
      </c>
      <c r="C13">
        <v>4.4999999999999998E-2</v>
      </c>
      <c r="D13">
        <v>80.52</v>
      </c>
      <c r="E13">
        <v>5.3739999999999997</v>
      </c>
      <c r="F13">
        <v>2.629</v>
      </c>
      <c r="G13">
        <v>0.161</v>
      </c>
      <c r="H13">
        <v>2.9000000000000001E-2</v>
      </c>
      <c r="I13">
        <v>1E-3</v>
      </c>
      <c r="J13">
        <v>1.5269999999999999</v>
      </c>
      <c r="K13">
        <v>0.189</v>
      </c>
    </row>
    <row r="14" spans="1:11" x14ac:dyDescent="0.25">
      <c r="A14" t="s">
        <v>22</v>
      </c>
      <c r="B14">
        <v>8.0000000000000002E-3</v>
      </c>
      <c r="C14">
        <v>0</v>
      </c>
      <c r="D14">
        <v>9.8000000000000004E-2</v>
      </c>
      <c r="E14">
        <v>6.0000000000000001E-3</v>
      </c>
      <c r="F14">
        <v>0.55700000000000005</v>
      </c>
      <c r="G14">
        <v>3.4000000000000002E-2</v>
      </c>
      <c r="H14">
        <v>0.15</v>
      </c>
      <c r="I14">
        <v>7.0000000000000001E-3</v>
      </c>
      <c r="J14">
        <v>7.2999999999999995E-2</v>
      </c>
      <c r="K14">
        <v>8.9999999999999993E-3</v>
      </c>
    </row>
    <row r="15" spans="1:11" x14ac:dyDescent="0.25">
      <c r="A15" t="s">
        <v>81</v>
      </c>
      <c r="B15">
        <v>1.476</v>
      </c>
      <c r="C15">
        <v>6.2E-2</v>
      </c>
      <c r="D15">
        <v>19.975999999999999</v>
      </c>
      <c r="E15">
        <v>1.32</v>
      </c>
      <c r="F15">
        <v>20.146000000000001</v>
      </c>
      <c r="G15">
        <v>1.2450000000000001</v>
      </c>
      <c r="H15">
        <v>9.532</v>
      </c>
      <c r="I15">
        <v>0.436</v>
      </c>
      <c r="J15">
        <v>19.978000000000002</v>
      </c>
      <c r="K15">
        <v>2.4609999999999999</v>
      </c>
    </row>
    <row r="16" spans="1:11" x14ac:dyDescent="0.25">
      <c r="A16" t="s">
        <v>24</v>
      </c>
      <c r="B16">
        <v>8.0000000000000002E-3</v>
      </c>
      <c r="C16">
        <v>0</v>
      </c>
      <c r="D16">
        <v>0.02</v>
      </c>
      <c r="E16">
        <v>1E-3</v>
      </c>
      <c r="F16">
        <v>7.0000000000000001E-3</v>
      </c>
      <c r="G16">
        <v>0</v>
      </c>
      <c r="H16">
        <v>0.189</v>
      </c>
      <c r="I16">
        <v>8.9999999999999993E-3</v>
      </c>
      <c r="J16">
        <v>2.1999999999999999E-2</v>
      </c>
      <c r="K16">
        <v>3.0000000000000001E-3</v>
      </c>
    </row>
    <row r="17" spans="1:11" x14ac:dyDescent="0.25">
      <c r="A17" t="s">
        <v>82</v>
      </c>
      <c r="B17">
        <v>11.282999999999999</v>
      </c>
      <c r="C17">
        <v>0.56299999999999994</v>
      </c>
      <c r="D17">
        <v>7.62</v>
      </c>
      <c r="E17">
        <v>0.503</v>
      </c>
      <c r="F17">
        <v>15.135999999999999</v>
      </c>
      <c r="G17">
        <v>0.93200000000000005</v>
      </c>
      <c r="H17">
        <v>15.326000000000001</v>
      </c>
      <c r="I17">
        <v>0.70699999999999996</v>
      </c>
      <c r="J17">
        <v>14.824999999999999</v>
      </c>
      <c r="K17">
        <v>1.8280000000000001</v>
      </c>
    </row>
    <row r="18" spans="1:11" x14ac:dyDescent="0.25">
      <c r="A18" t="s">
        <v>26</v>
      </c>
      <c r="B18">
        <v>0.14299999999999999</v>
      </c>
      <c r="C18">
        <v>6.0000000000000001E-3</v>
      </c>
      <c r="D18">
        <v>1.4870000000000001</v>
      </c>
      <c r="E18">
        <v>9.8000000000000004E-2</v>
      </c>
      <c r="F18">
        <v>1.6020000000000001</v>
      </c>
      <c r="G18">
        <v>9.8000000000000004E-2</v>
      </c>
      <c r="H18">
        <v>0.52500000000000002</v>
      </c>
      <c r="I18">
        <v>2.4E-2</v>
      </c>
      <c r="J18">
        <v>1.4990000000000001</v>
      </c>
      <c r="K18">
        <v>0.185</v>
      </c>
    </row>
    <row r="19" spans="1:11" x14ac:dyDescent="0.25">
      <c r="A19" t="s">
        <v>22</v>
      </c>
      <c r="B19">
        <v>3.5000000000000003E-2</v>
      </c>
      <c r="C19">
        <v>1E-3</v>
      </c>
      <c r="D19">
        <v>0.17899999999999999</v>
      </c>
      <c r="E19">
        <v>1.2E-2</v>
      </c>
      <c r="F19">
        <v>0.46400000000000002</v>
      </c>
      <c r="G19">
        <v>2.8000000000000001E-2</v>
      </c>
      <c r="H19">
        <v>0.10299999999999999</v>
      </c>
      <c r="I19">
        <v>5.0000000000000001E-3</v>
      </c>
      <c r="J19">
        <v>6.4000000000000001E-2</v>
      </c>
      <c r="K19">
        <v>8.0000000000000002E-3</v>
      </c>
    </row>
    <row r="21" spans="1:11" x14ac:dyDescent="0.25">
      <c r="A21" t="s">
        <v>27</v>
      </c>
      <c r="B21">
        <v>14.879</v>
      </c>
      <c r="C21">
        <v>0.78600000000000003</v>
      </c>
      <c r="D21">
        <v>199.02</v>
      </c>
      <c r="E21">
        <v>13.538</v>
      </c>
      <c r="F21">
        <v>198.63399999999999</v>
      </c>
      <c r="G21">
        <v>13.638</v>
      </c>
      <c r="H21">
        <v>98.75</v>
      </c>
      <c r="I21">
        <v>5.1660000000000004</v>
      </c>
      <c r="J21">
        <v>198.44200000000001</v>
      </c>
      <c r="K21">
        <v>23.606999999999999</v>
      </c>
    </row>
    <row r="22" spans="1:11" x14ac:dyDescent="0.25">
      <c r="A22" t="s">
        <v>29</v>
      </c>
      <c r="B22">
        <v>7.4569999999999999</v>
      </c>
      <c r="C22">
        <v>0.36699999999999999</v>
      </c>
      <c r="D22">
        <v>99.742000000000004</v>
      </c>
      <c r="E22">
        <v>6.835</v>
      </c>
      <c r="F22">
        <v>99.757000000000005</v>
      </c>
      <c r="G22">
        <v>6.7080000000000002</v>
      </c>
      <c r="H22">
        <v>49.637999999999998</v>
      </c>
      <c r="I22">
        <v>2.5840000000000001</v>
      </c>
      <c r="J22">
        <v>99.516999999999996</v>
      </c>
      <c r="K22">
        <v>12.475</v>
      </c>
    </row>
    <row r="23" spans="1:11" x14ac:dyDescent="0.25">
      <c r="A23" t="s">
        <v>31</v>
      </c>
      <c r="B23">
        <v>3.7480000000000002</v>
      </c>
      <c r="C23">
        <v>0.16800000000000001</v>
      </c>
      <c r="D23">
        <v>49.905000000000001</v>
      </c>
      <c r="E23">
        <v>3.335</v>
      </c>
      <c r="F23">
        <v>50.12</v>
      </c>
      <c r="G23">
        <v>3.1640000000000001</v>
      </c>
      <c r="H23">
        <v>24.902000000000001</v>
      </c>
      <c r="I23">
        <v>1.1950000000000001</v>
      </c>
      <c r="J23">
        <v>49.869</v>
      </c>
      <c r="K23">
        <v>6.1970000000000001</v>
      </c>
    </row>
    <row r="24" spans="1:11" x14ac:dyDescent="0.25">
      <c r="A24" t="s">
        <v>33</v>
      </c>
      <c r="B24">
        <v>1.4950000000000001</v>
      </c>
      <c r="C24">
        <v>5.8000000000000003E-2</v>
      </c>
      <c r="D24">
        <v>20.015999999999998</v>
      </c>
      <c r="E24">
        <v>1.302</v>
      </c>
      <c r="F24">
        <v>20.196000000000002</v>
      </c>
      <c r="G24">
        <v>1.157</v>
      </c>
      <c r="H24">
        <v>9.968</v>
      </c>
      <c r="I24">
        <v>0.42599999999999999</v>
      </c>
      <c r="J24">
        <v>19.995999999999999</v>
      </c>
      <c r="K24">
        <v>2.4009999999999998</v>
      </c>
    </row>
    <row r="25" spans="1:11" x14ac:dyDescent="0.25">
      <c r="A25" t="s">
        <v>35</v>
      </c>
      <c r="B25">
        <v>0.75</v>
      </c>
      <c r="C25">
        <v>2.8000000000000001E-2</v>
      </c>
      <c r="D25">
        <v>10</v>
      </c>
      <c r="E25">
        <v>0.61799999999999999</v>
      </c>
      <c r="F25">
        <v>10</v>
      </c>
      <c r="G25">
        <v>0.54900000000000004</v>
      </c>
      <c r="H25">
        <v>5</v>
      </c>
      <c r="I25">
        <v>0.191</v>
      </c>
      <c r="J25">
        <v>10</v>
      </c>
      <c r="K25">
        <v>1.129</v>
      </c>
    </row>
    <row r="26" spans="1:11" x14ac:dyDescent="0.25">
      <c r="A26" t="s">
        <v>37</v>
      </c>
      <c r="B26">
        <v>0.375</v>
      </c>
      <c r="C26">
        <v>1.2999999999999999E-2</v>
      </c>
      <c r="D26">
        <v>5</v>
      </c>
      <c r="E26">
        <v>0.30599999999999999</v>
      </c>
      <c r="F26">
        <v>5</v>
      </c>
      <c r="G26">
        <v>0.315</v>
      </c>
      <c r="H26">
        <v>2.5</v>
      </c>
      <c r="I26">
        <v>8.2000000000000003E-2</v>
      </c>
      <c r="J26">
        <v>5</v>
      </c>
      <c r="K26">
        <v>0.54400000000000004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5147D-341D-4C47-B97E-EEA9A3B2F0C1}">
  <dimension ref="A1:E53"/>
  <sheetViews>
    <sheetView topLeftCell="A30" workbookViewId="0">
      <selection activeCell="K49" sqref="K49"/>
    </sheetView>
  </sheetViews>
  <sheetFormatPr defaultRowHeight="15" x14ac:dyDescent="0.25"/>
  <cols>
    <col min="1" max="2" width="12.28515625" customWidth="1"/>
    <col min="6" max="6" width="10.140625" customWidth="1"/>
    <col min="7" max="7" width="9.7109375" customWidth="1"/>
    <col min="8" max="8" width="10.28515625" customWidth="1"/>
    <col min="9" max="9" width="9.85546875" customWidth="1"/>
    <col min="11" max="11" width="9.85546875" customWidth="1"/>
  </cols>
  <sheetData>
    <row r="1" spans="1:5" s="2" customFormat="1" ht="60" x14ac:dyDescent="0.25">
      <c r="A1" s="2" t="s">
        <v>1</v>
      </c>
      <c r="B1" s="2" t="s">
        <v>39</v>
      </c>
      <c r="C1" s="2" t="s">
        <v>2</v>
      </c>
      <c r="D1" s="2" t="s">
        <v>3</v>
      </c>
      <c r="E1" s="2" t="s">
        <v>40</v>
      </c>
    </row>
    <row r="3" spans="1:5" x14ac:dyDescent="0.25">
      <c r="A3" t="s">
        <v>13</v>
      </c>
      <c r="B3">
        <v>0</v>
      </c>
      <c r="C3">
        <v>1.2E-2</v>
      </c>
      <c r="D3">
        <v>0</v>
      </c>
    </row>
    <row r="4" spans="1:5" x14ac:dyDescent="0.25">
      <c r="A4" t="s">
        <v>28</v>
      </c>
      <c r="B4">
        <v>15</v>
      </c>
      <c r="C4">
        <v>14.879</v>
      </c>
      <c r="D4">
        <v>0.64100000000000001</v>
      </c>
      <c r="E4">
        <f t="shared" ref="E4:E9" si="0">C4/B4*100</f>
        <v>99.193333333333328</v>
      </c>
    </row>
    <row r="5" spans="1:5" x14ac:dyDescent="0.25">
      <c r="A5" t="s">
        <v>30</v>
      </c>
      <c r="B5">
        <v>7.5</v>
      </c>
      <c r="C5">
        <v>7.4569999999999999</v>
      </c>
      <c r="D5">
        <v>0.311</v>
      </c>
      <c r="E5">
        <f t="shared" si="0"/>
        <v>99.426666666666662</v>
      </c>
    </row>
    <row r="6" spans="1:5" x14ac:dyDescent="0.25">
      <c r="A6" t="s">
        <v>32</v>
      </c>
      <c r="B6">
        <v>3.75</v>
      </c>
      <c r="C6">
        <v>3.7480000000000002</v>
      </c>
      <c r="D6">
        <v>0.14699999999999999</v>
      </c>
      <c r="E6">
        <f t="shared" si="0"/>
        <v>99.946666666666673</v>
      </c>
    </row>
    <row r="7" spans="1:5" x14ac:dyDescent="0.25">
      <c r="A7" t="s">
        <v>34</v>
      </c>
      <c r="B7">
        <v>1.5</v>
      </c>
      <c r="C7">
        <v>1.4950000000000001</v>
      </c>
      <c r="D7">
        <v>5.1999999999999998E-2</v>
      </c>
      <c r="E7">
        <f t="shared" si="0"/>
        <v>99.666666666666671</v>
      </c>
    </row>
    <row r="8" spans="1:5" x14ac:dyDescent="0.25">
      <c r="A8" t="s">
        <v>36</v>
      </c>
      <c r="B8">
        <v>0.75</v>
      </c>
      <c r="C8">
        <v>0.75</v>
      </c>
      <c r="D8">
        <v>2.3E-2</v>
      </c>
      <c r="E8">
        <f t="shared" si="0"/>
        <v>100</v>
      </c>
    </row>
    <row r="9" spans="1:5" x14ac:dyDescent="0.25">
      <c r="A9" t="s">
        <v>38</v>
      </c>
      <c r="B9">
        <v>0.375</v>
      </c>
      <c r="C9">
        <v>0.375</v>
      </c>
      <c r="D9">
        <v>1.4E-2</v>
      </c>
      <c r="E9">
        <f t="shared" si="0"/>
        <v>100</v>
      </c>
    </row>
    <row r="12" spans="1:5" s="2" customFormat="1" ht="60" x14ac:dyDescent="0.25">
      <c r="A12" s="2" t="s">
        <v>1</v>
      </c>
      <c r="B12" s="2" t="s">
        <v>39</v>
      </c>
      <c r="C12" s="2" t="s">
        <v>4</v>
      </c>
      <c r="D12" s="2" t="s">
        <v>5</v>
      </c>
      <c r="E12" s="2" t="s">
        <v>40</v>
      </c>
    </row>
    <row r="14" spans="1:5" x14ac:dyDescent="0.25">
      <c r="A14" t="s">
        <v>13</v>
      </c>
      <c r="B14">
        <v>0</v>
      </c>
      <c r="C14">
        <v>2.5999999999999999E-2</v>
      </c>
      <c r="D14">
        <v>1E-3</v>
      </c>
    </row>
    <row r="15" spans="1:5" x14ac:dyDescent="0.25">
      <c r="A15" t="s">
        <v>28</v>
      </c>
      <c r="B15">
        <v>200</v>
      </c>
      <c r="C15">
        <v>199.02</v>
      </c>
      <c r="D15">
        <v>11.698</v>
      </c>
      <c r="E15">
        <f>C15/B15*100</f>
        <v>99.51</v>
      </c>
    </row>
    <row r="16" spans="1:5" x14ac:dyDescent="0.25">
      <c r="A16" t="s">
        <v>30</v>
      </c>
      <c r="B16">
        <v>100</v>
      </c>
      <c r="C16">
        <v>99.742000000000004</v>
      </c>
      <c r="D16">
        <v>5.7350000000000003</v>
      </c>
      <c r="E16">
        <f t="shared" ref="E16:E20" si="1">C16/B16*100</f>
        <v>99.742000000000004</v>
      </c>
    </row>
    <row r="17" spans="1:5" x14ac:dyDescent="0.25">
      <c r="A17" t="s">
        <v>32</v>
      </c>
      <c r="B17">
        <v>50</v>
      </c>
      <c r="C17">
        <v>49.905000000000001</v>
      </c>
      <c r="D17">
        <v>2.8690000000000002</v>
      </c>
      <c r="E17">
        <f t="shared" si="1"/>
        <v>99.81</v>
      </c>
    </row>
    <row r="18" spans="1:5" x14ac:dyDescent="0.25">
      <c r="A18" t="s">
        <v>34</v>
      </c>
      <c r="B18">
        <v>20</v>
      </c>
      <c r="C18">
        <v>20.015999999999998</v>
      </c>
      <c r="D18">
        <v>1.081</v>
      </c>
      <c r="E18">
        <f t="shared" si="1"/>
        <v>100.07999999999998</v>
      </c>
    </row>
    <row r="19" spans="1:5" x14ac:dyDescent="0.25">
      <c r="A19" t="s">
        <v>36</v>
      </c>
      <c r="B19">
        <v>10</v>
      </c>
      <c r="C19">
        <v>10</v>
      </c>
      <c r="D19">
        <v>0.52100000000000002</v>
      </c>
      <c r="E19">
        <f t="shared" si="1"/>
        <v>100</v>
      </c>
    </row>
    <row r="20" spans="1:5" x14ac:dyDescent="0.25">
      <c r="A20" t="s">
        <v>38</v>
      </c>
      <c r="B20">
        <v>5</v>
      </c>
      <c r="C20">
        <v>5</v>
      </c>
      <c r="D20">
        <v>0.26600000000000001</v>
      </c>
      <c r="E20">
        <f t="shared" si="1"/>
        <v>100</v>
      </c>
    </row>
    <row r="23" spans="1:5" s="2" customFormat="1" ht="60" x14ac:dyDescent="0.25">
      <c r="A23" s="2" t="s">
        <v>1</v>
      </c>
      <c r="B23" s="2" t="s">
        <v>39</v>
      </c>
      <c r="C23" s="2" t="s">
        <v>6</v>
      </c>
      <c r="D23" s="2" t="s">
        <v>7</v>
      </c>
      <c r="E23" s="2" t="s">
        <v>40</v>
      </c>
    </row>
    <row r="25" spans="1:5" x14ac:dyDescent="0.25">
      <c r="A25" t="s">
        <v>13</v>
      </c>
      <c r="B25">
        <v>0</v>
      </c>
      <c r="C25">
        <v>1.6E-2</v>
      </c>
      <c r="D25">
        <v>1E-3</v>
      </c>
    </row>
    <row r="26" spans="1:5" x14ac:dyDescent="0.25">
      <c r="A26" t="s">
        <v>28</v>
      </c>
      <c r="B26">
        <v>200</v>
      </c>
      <c r="C26">
        <v>198.63399999999999</v>
      </c>
      <c r="D26">
        <v>11.8</v>
      </c>
      <c r="E26">
        <f>C26/B26*100</f>
        <v>99.316999999999993</v>
      </c>
    </row>
    <row r="27" spans="1:5" x14ac:dyDescent="0.25">
      <c r="A27" t="s">
        <v>30</v>
      </c>
      <c r="B27">
        <v>100</v>
      </c>
      <c r="C27">
        <v>99.757000000000005</v>
      </c>
      <c r="D27">
        <v>5.6050000000000004</v>
      </c>
      <c r="E27">
        <f t="shared" ref="E27:E31" si="2">C27/B27*100</f>
        <v>99.757000000000005</v>
      </c>
    </row>
    <row r="28" spans="1:5" x14ac:dyDescent="0.25">
      <c r="A28" t="s">
        <v>32</v>
      </c>
      <c r="B28">
        <v>50</v>
      </c>
      <c r="C28">
        <v>50.12</v>
      </c>
      <c r="D28">
        <v>2.7280000000000002</v>
      </c>
      <c r="E28">
        <f t="shared" si="2"/>
        <v>100.24</v>
      </c>
    </row>
    <row r="29" spans="1:5" x14ac:dyDescent="0.25">
      <c r="A29" t="s">
        <v>34</v>
      </c>
      <c r="B29">
        <v>20</v>
      </c>
      <c r="C29">
        <v>20.196000000000002</v>
      </c>
      <c r="D29">
        <v>1.004</v>
      </c>
      <c r="E29">
        <f t="shared" si="2"/>
        <v>100.98</v>
      </c>
    </row>
    <row r="30" spans="1:5" x14ac:dyDescent="0.25">
      <c r="A30" t="s">
        <v>36</v>
      </c>
      <c r="B30">
        <v>10</v>
      </c>
      <c r="C30">
        <v>10</v>
      </c>
      <c r="D30">
        <v>0.47399999999999998</v>
      </c>
      <c r="E30">
        <f t="shared" si="2"/>
        <v>100</v>
      </c>
    </row>
    <row r="31" spans="1:5" x14ac:dyDescent="0.25">
      <c r="A31" t="s">
        <v>38</v>
      </c>
      <c r="B31">
        <v>5</v>
      </c>
      <c r="C31">
        <v>5</v>
      </c>
      <c r="D31">
        <v>0.24099999999999999</v>
      </c>
      <c r="E31">
        <f t="shared" si="2"/>
        <v>100</v>
      </c>
    </row>
    <row r="34" spans="1:5" s="2" customFormat="1" ht="60" x14ac:dyDescent="0.25">
      <c r="A34" s="2" t="s">
        <v>1</v>
      </c>
      <c r="B34" s="2" t="s">
        <v>39</v>
      </c>
      <c r="C34" s="2" t="s">
        <v>8</v>
      </c>
      <c r="D34" s="2" t="s">
        <v>9</v>
      </c>
      <c r="E34" s="2" t="s">
        <v>40</v>
      </c>
    </row>
    <row r="36" spans="1:5" x14ac:dyDescent="0.25">
      <c r="A36" t="s">
        <v>13</v>
      </c>
      <c r="B36">
        <v>0</v>
      </c>
      <c r="C36">
        <v>0.22</v>
      </c>
      <c r="D36">
        <v>8.0000000000000002E-3</v>
      </c>
    </row>
    <row r="37" spans="1:5" x14ac:dyDescent="0.25">
      <c r="A37" t="s">
        <v>28</v>
      </c>
      <c r="B37">
        <v>100</v>
      </c>
      <c r="C37">
        <v>98.75</v>
      </c>
      <c r="D37">
        <v>4.4770000000000003</v>
      </c>
      <c r="E37">
        <f>C37/B37*100</f>
        <v>98.75</v>
      </c>
    </row>
    <row r="38" spans="1:5" x14ac:dyDescent="0.25">
      <c r="A38" t="s">
        <v>30</v>
      </c>
      <c r="B38">
        <v>50</v>
      </c>
      <c r="C38">
        <v>49.637999999999998</v>
      </c>
      <c r="D38">
        <v>2.085</v>
      </c>
      <c r="E38">
        <f t="shared" ref="E38:E42" si="3">C38/B38*100</f>
        <v>99.275999999999996</v>
      </c>
    </row>
    <row r="39" spans="1:5" x14ac:dyDescent="0.25">
      <c r="A39" t="s">
        <v>32</v>
      </c>
      <c r="B39">
        <v>25</v>
      </c>
      <c r="C39">
        <v>24.902000000000001</v>
      </c>
      <c r="D39">
        <v>0.97</v>
      </c>
      <c r="E39">
        <f t="shared" si="3"/>
        <v>99.608000000000004</v>
      </c>
    </row>
    <row r="40" spans="1:5" x14ac:dyDescent="0.25">
      <c r="A40" t="s">
        <v>34</v>
      </c>
      <c r="B40">
        <v>10</v>
      </c>
      <c r="C40">
        <v>9.968</v>
      </c>
      <c r="D40">
        <v>0.34200000000000003</v>
      </c>
      <c r="E40">
        <f t="shared" si="3"/>
        <v>99.68</v>
      </c>
    </row>
    <row r="41" spans="1:5" x14ac:dyDescent="0.25">
      <c r="A41" t="s">
        <v>36</v>
      </c>
      <c r="B41">
        <v>5</v>
      </c>
      <c r="C41">
        <v>5</v>
      </c>
      <c r="D41">
        <v>0.14699999999999999</v>
      </c>
      <c r="E41">
        <f t="shared" si="3"/>
        <v>100</v>
      </c>
    </row>
    <row r="42" spans="1:5" x14ac:dyDescent="0.25">
      <c r="A42" t="s">
        <v>38</v>
      </c>
      <c r="B42">
        <v>2.5</v>
      </c>
      <c r="C42">
        <v>2.5</v>
      </c>
      <c r="D42">
        <v>6.9000000000000006E-2</v>
      </c>
      <c r="E42">
        <f t="shared" si="3"/>
        <v>100</v>
      </c>
    </row>
    <row r="45" spans="1:5" s="2" customFormat="1" ht="60" x14ac:dyDescent="0.25">
      <c r="A45" s="2" t="s">
        <v>1</v>
      </c>
      <c r="B45" s="2" t="s">
        <v>39</v>
      </c>
      <c r="C45" s="2" t="s">
        <v>10</v>
      </c>
      <c r="D45" s="2" t="s">
        <v>11</v>
      </c>
      <c r="E45" s="2" t="s">
        <v>40</v>
      </c>
    </row>
    <row r="47" spans="1:5" x14ac:dyDescent="0.25">
      <c r="A47" t="s">
        <v>13</v>
      </c>
      <c r="B47">
        <v>0</v>
      </c>
      <c r="C47">
        <v>1.7999999999999999E-2</v>
      </c>
      <c r="D47">
        <v>2E-3</v>
      </c>
    </row>
    <row r="48" spans="1:5" x14ac:dyDescent="0.25">
      <c r="A48" t="s">
        <v>28</v>
      </c>
      <c r="B48">
        <v>200</v>
      </c>
      <c r="C48">
        <v>198.44200000000001</v>
      </c>
      <c r="D48">
        <v>21.713000000000001</v>
      </c>
      <c r="E48">
        <f>C48/B48*100</f>
        <v>99.221000000000004</v>
      </c>
    </row>
    <row r="49" spans="1:5" x14ac:dyDescent="0.25">
      <c r="A49" t="s">
        <v>30</v>
      </c>
      <c r="B49">
        <v>100</v>
      </c>
      <c r="C49">
        <v>99.516999999999996</v>
      </c>
      <c r="D49">
        <v>10.863</v>
      </c>
      <c r="E49">
        <f t="shared" ref="E49:E53" si="4">C49/B49*100</f>
        <v>99.516999999999996</v>
      </c>
    </row>
    <row r="50" spans="1:5" x14ac:dyDescent="0.25">
      <c r="A50" t="s">
        <v>32</v>
      </c>
      <c r="B50">
        <v>50</v>
      </c>
      <c r="C50">
        <v>49.869</v>
      </c>
      <c r="D50">
        <v>5.5209999999999999</v>
      </c>
      <c r="E50">
        <f t="shared" si="4"/>
        <v>99.738</v>
      </c>
    </row>
    <row r="51" spans="1:5" x14ac:dyDescent="0.25">
      <c r="A51" t="s">
        <v>34</v>
      </c>
      <c r="B51">
        <v>20</v>
      </c>
      <c r="C51">
        <v>19.995999999999999</v>
      </c>
      <c r="D51">
        <v>2.0750000000000002</v>
      </c>
      <c r="E51">
        <f t="shared" si="4"/>
        <v>99.97999999999999</v>
      </c>
    </row>
    <row r="52" spans="1:5" x14ac:dyDescent="0.25">
      <c r="A52" t="s">
        <v>36</v>
      </c>
      <c r="B52">
        <v>10</v>
      </c>
      <c r="C52">
        <v>10</v>
      </c>
      <c r="D52">
        <v>0.98</v>
      </c>
      <c r="E52">
        <f t="shared" si="4"/>
        <v>100</v>
      </c>
    </row>
    <row r="53" spans="1:5" x14ac:dyDescent="0.25">
      <c r="A53" t="s">
        <v>38</v>
      </c>
      <c r="B53">
        <v>5</v>
      </c>
      <c r="C53">
        <v>5</v>
      </c>
      <c r="D53">
        <v>0.48499999999999999</v>
      </c>
      <c r="E53">
        <f t="shared" si="4"/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138C-7F17-4C02-B9A7-04A8656328CC}">
  <dimension ref="A1:K14"/>
  <sheetViews>
    <sheetView workbookViewId="0">
      <selection activeCell="A24" sqref="A24"/>
    </sheetView>
  </sheetViews>
  <sheetFormatPr defaultRowHeight="15" x14ac:dyDescent="0.25"/>
  <cols>
    <col min="1" max="1" width="22.140625" customWidth="1"/>
  </cols>
  <sheetData>
    <row r="1" spans="1:11" s="2" customFormat="1" ht="60" x14ac:dyDescent="0.25">
      <c r="A1" s="2" t="s">
        <v>0</v>
      </c>
      <c r="B1" s="2" t="s">
        <v>2</v>
      </c>
      <c r="C1" s="2" t="s">
        <v>40</v>
      </c>
      <c r="D1" s="2" t="s">
        <v>4</v>
      </c>
      <c r="E1" s="2" t="s">
        <v>40</v>
      </c>
      <c r="F1" s="2" t="s">
        <v>6</v>
      </c>
      <c r="G1" s="2" t="s">
        <v>40</v>
      </c>
      <c r="H1" s="2" t="s">
        <v>8</v>
      </c>
      <c r="I1" s="2" t="s">
        <v>40</v>
      </c>
      <c r="J1" s="2" t="s">
        <v>10</v>
      </c>
      <c r="K1" s="2" t="s">
        <v>40</v>
      </c>
    </row>
    <row r="3" spans="1:11" x14ac:dyDescent="0.25">
      <c r="A3" t="s">
        <v>23</v>
      </c>
      <c r="B3">
        <v>1.502</v>
      </c>
      <c r="C3">
        <f>B3/1.5*100</f>
        <v>100.13333333333334</v>
      </c>
      <c r="D3">
        <v>19.768999999999998</v>
      </c>
      <c r="E3">
        <f>D3/20*100</f>
        <v>98.844999999999999</v>
      </c>
      <c r="F3">
        <v>19.975999999999999</v>
      </c>
      <c r="G3">
        <f>F3/20*100</f>
        <v>99.88</v>
      </c>
      <c r="H3">
        <v>8.9760000000000009</v>
      </c>
      <c r="I3">
        <f>H3/10*100</f>
        <v>89.76</v>
      </c>
      <c r="J3">
        <v>19.823</v>
      </c>
      <c r="K3">
        <f>J3/20*100</f>
        <v>99.114999999999995</v>
      </c>
    </row>
    <row r="4" spans="1:11" x14ac:dyDescent="0.25">
      <c r="A4" t="s">
        <v>81</v>
      </c>
      <c r="B4">
        <v>1.476</v>
      </c>
      <c r="C4">
        <f>B4/1.5*100</f>
        <v>98.4</v>
      </c>
      <c r="D4">
        <v>19.975999999999999</v>
      </c>
      <c r="E4">
        <f>D4/20*100</f>
        <v>99.88</v>
      </c>
      <c r="F4">
        <v>20.146000000000001</v>
      </c>
      <c r="G4">
        <f>F4/20*100</f>
        <v>100.73</v>
      </c>
      <c r="H4">
        <v>9.532</v>
      </c>
      <c r="I4">
        <f>H4/10*100</f>
        <v>95.320000000000007</v>
      </c>
      <c r="J4">
        <v>19.978000000000002</v>
      </c>
      <c r="K4">
        <f>J4/20*100</f>
        <v>99.890000000000015</v>
      </c>
    </row>
    <row r="6" spans="1:11" x14ac:dyDescent="0.25">
      <c r="A6" t="s">
        <v>25</v>
      </c>
      <c r="B6">
        <v>11.282999999999999</v>
      </c>
      <c r="C6" s="38">
        <f>B6/10.5*100</f>
        <v>107.45714285714286</v>
      </c>
      <c r="D6" s="38">
        <v>7.62</v>
      </c>
      <c r="E6" s="38">
        <f>D6/8.46*100</f>
        <v>90.070921985815602</v>
      </c>
      <c r="F6" s="38">
        <v>15.135999999999999</v>
      </c>
      <c r="G6" s="39">
        <f>F6/16.1*100</f>
        <v>94.012422360248436</v>
      </c>
      <c r="H6" s="38">
        <v>15.326000000000001</v>
      </c>
      <c r="I6" s="38">
        <f>H6/15.6*100</f>
        <v>98.243589743589752</v>
      </c>
      <c r="J6" s="38">
        <v>14.824999999999999</v>
      </c>
      <c r="K6" s="38">
        <f>J6/15.6*100</f>
        <v>95.03205128205127</v>
      </c>
    </row>
    <row r="7" spans="1:11" x14ac:dyDescent="0.25">
      <c r="A7" t="s">
        <v>26</v>
      </c>
      <c r="B7">
        <v>0.13500000000000001</v>
      </c>
      <c r="C7">
        <f>B7/0.15*100</f>
        <v>90.000000000000014</v>
      </c>
      <c r="D7">
        <v>1.5569999999999999</v>
      </c>
      <c r="E7">
        <f>D7/2*100</f>
        <v>77.849999999999994</v>
      </c>
      <c r="F7">
        <v>1.5189999999999999</v>
      </c>
      <c r="G7">
        <f>F7/2*100</f>
        <v>75.949999999999989</v>
      </c>
      <c r="H7">
        <v>0.57099999999999995</v>
      </c>
      <c r="I7">
        <f>H7/1*100</f>
        <v>57.099999999999994</v>
      </c>
      <c r="J7">
        <v>1.4159999999999999</v>
      </c>
      <c r="K7">
        <f>J7/2*100</f>
        <v>70.8</v>
      </c>
    </row>
    <row r="10" spans="1:11" ht="60" x14ac:dyDescent="0.25">
      <c r="B10" s="2" t="s">
        <v>2</v>
      </c>
      <c r="C10" s="2" t="s">
        <v>41</v>
      </c>
      <c r="D10" s="2" t="s">
        <v>4</v>
      </c>
      <c r="E10" s="2" t="s">
        <v>42</v>
      </c>
      <c r="F10" s="2" t="s">
        <v>6</v>
      </c>
      <c r="G10" s="2" t="s">
        <v>43</v>
      </c>
      <c r="H10" s="2" t="s">
        <v>8</v>
      </c>
      <c r="I10" s="2" t="s">
        <v>44</v>
      </c>
      <c r="J10" s="2" t="s">
        <v>10</v>
      </c>
      <c r="K10" s="2" t="s">
        <v>45</v>
      </c>
    </row>
    <row r="11" spans="1:11" x14ac:dyDescent="0.25">
      <c r="A11" t="s">
        <v>22</v>
      </c>
      <c r="B11">
        <v>8.0000000000000002E-3</v>
      </c>
      <c r="C11">
        <v>0</v>
      </c>
      <c r="D11">
        <v>9.8000000000000004E-2</v>
      </c>
      <c r="E11">
        <v>6.0000000000000001E-3</v>
      </c>
      <c r="F11">
        <v>0.55700000000000005</v>
      </c>
      <c r="G11">
        <v>3.4000000000000002E-2</v>
      </c>
      <c r="H11">
        <v>0.15</v>
      </c>
      <c r="I11">
        <v>7.0000000000000001E-3</v>
      </c>
      <c r="J11">
        <v>7.2999999999999995E-2</v>
      </c>
      <c r="K11">
        <v>8.9999999999999993E-3</v>
      </c>
    </row>
    <row r="12" spans="1:11" x14ac:dyDescent="0.25">
      <c r="A12" t="s">
        <v>22</v>
      </c>
      <c r="B12">
        <v>3.5000000000000003E-2</v>
      </c>
      <c r="C12">
        <v>1E-3</v>
      </c>
      <c r="D12">
        <v>0.17899999999999999</v>
      </c>
      <c r="E12">
        <v>1.2E-2</v>
      </c>
      <c r="F12">
        <v>0.46400000000000002</v>
      </c>
      <c r="G12">
        <v>2.8000000000000001E-2</v>
      </c>
      <c r="H12">
        <v>0.10299999999999999</v>
      </c>
      <c r="I12">
        <v>5.0000000000000001E-3</v>
      </c>
      <c r="J12">
        <v>6.4000000000000001E-2</v>
      </c>
      <c r="K12">
        <v>8.0000000000000002E-3</v>
      </c>
    </row>
    <row r="13" spans="1:11" x14ac:dyDescent="0.25">
      <c r="A13" t="s">
        <v>24</v>
      </c>
      <c r="B13">
        <v>8.0000000000000002E-3</v>
      </c>
      <c r="C13">
        <v>0</v>
      </c>
      <c r="D13">
        <v>0.02</v>
      </c>
      <c r="E13">
        <v>1E-3</v>
      </c>
      <c r="F13">
        <v>7.0000000000000001E-3</v>
      </c>
      <c r="G13">
        <v>0</v>
      </c>
      <c r="H13">
        <v>0.189</v>
      </c>
      <c r="I13">
        <v>8.9999999999999993E-3</v>
      </c>
      <c r="J13">
        <v>2.1999999999999999E-2</v>
      </c>
      <c r="K13">
        <v>3.0000000000000001E-3</v>
      </c>
    </row>
    <row r="14" spans="1:11" x14ac:dyDescent="0.25">
      <c r="A14" t="s">
        <v>74</v>
      </c>
      <c r="B14">
        <v>4.0000000000000001E-3</v>
      </c>
      <c r="C14">
        <v>0</v>
      </c>
      <c r="D14">
        <v>3.3000000000000002E-2</v>
      </c>
      <c r="E14">
        <v>2E-3</v>
      </c>
      <c r="F14">
        <v>4.0000000000000001E-3</v>
      </c>
      <c r="G14">
        <v>0</v>
      </c>
      <c r="H14">
        <v>4.7E-2</v>
      </c>
      <c r="I14">
        <v>2E-3</v>
      </c>
      <c r="J14">
        <v>1E-3</v>
      </c>
      <c r="K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147E-9494-429D-8C56-2C328AF0AE7B}">
  <dimension ref="A1:N24"/>
  <sheetViews>
    <sheetView workbookViewId="0">
      <selection activeCell="P12" sqref="P12"/>
    </sheetView>
  </sheetViews>
  <sheetFormatPr defaultRowHeight="15" x14ac:dyDescent="0.25"/>
  <cols>
    <col min="1" max="1" width="31.7109375" customWidth="1"/>
    <col min="6" max="6" width="9.7109375" customWidth="1"/>
  </cols>
  <sheetData>
    <row r="1" spans="1:12" s="2" customFormat="1" ht="60" x14ac:dyDescent="0.25">
      <c r="A1" s="2" t="s">
        <v>0</v>
      </c>
      <c r="B1" s="2" t="s">
        <v>50</v>
      </c>
      <c r="C1" s="2" t="s">
        <v>49</v>
      </c>
      <c r="D1" s="2" t="s">
        <v>48</v>
      </c>
      <c r="E1" s="2" t="s">
        <v>47</v>
      </c>
      <c r="F1" s="2" t="s">
        <v>46</v>
      </c>
      <c r="H1" s="2" t="s">
        <v>51</v>
      </c>
      <c r="I1" s="2" t="s">
        <v>52</v>
      </c>
      <c r="J1" s="2" t="s">
        <v>53</v>
      </c>
      <c r="K1" s="2" t="s">
        <v>54</v>
      </c>
      <c r="L1" s="2" t="s">
        <v>55</v>
      </c>
    </row>
    <row r="3" spans="1:12" x14ac:dyDescent="0.25">
      <c r="A3" t="s">
        <v>12</v>
      </c>
      <c r="B3">
        <v>0.02</v>
      </c>
      <c r="C3">
        <v>7.875</v>
      </c>
      <c r="D3">
        <v>2.4390000000000001</v>
      </c>
      <c r="E3">
        <v>0.221</v>
      </c>
      <c r="F3">
        <v>2.097</v>
      </c>
      <c r="H3" t="s">
        <v>56</v>
      </c>
      <c r="I3">
        <f>C3*100</f>
        <v>787.5</v>
      </c>
      <c r="J3">
        <f t="shared" ref="J3:L5" si="0">D3*100</f>
        <v>243.9</v>
      </c>
      <c r="K3">
        <f t="shared" si="0"/>
        <v>22.1</v>
      </c>
      <c r="L3">
        <f t="shared" si="0"/>
        <v>209.7</v>
      </c>
    </row>
    <row r="4" spans="1:12" x14ac:dyDescent="0.25">
      <c r="A4" t="s">
        <v>14</v>
      </c>
      <c r="B4">
        <v>1.2999999999999999E-2</v>
      </c>
      <c r="C4">
        <v>7.4509999999999996</v>
      </c>
      <c r="D4">
        <v>0.71499999999999997</v>
      </c>
      <c r="E4">
        <v>0.20499999999999999</v>
      </c>
      <c r="F4">
        <v>0.61299999999999999</v>
      </c>
      <c r="H4" t="s">
        <v>56</v>
      </c>
      <c r="I4">
        <f t="shared" ref="I4:I5" si="1">C4*100</f>
        <v>745.09999999999991</v>
      </c>
      <c r="J4">
        <f t="shared" si="0"/>
        <v>71.5</v>
      </c>
      <c r="K4">
        <f t="shared" si="0"/>
        <v>20.5</v>
      </c>
      <c r="L4">
        <f t="shared" si="0"/>
        <v>61.3</v>
      </c>
    </row>
    <row r="5" spans="1:12" x14ac:dyDescent="0.25">
      <c r="A5" t="s">
        <v>15</v>
      </c>
      <c r="B5">
        <v>1.4999999999999999E-2</v>
      </c>
      <c r="C5">
        <v>16.515000000000001</v>
      </c>
      <c r="D5">
        <v>0.29299999999999998</v>
      </c>
      <c r="E5">
        <v>0.35</v>
      </c>
      <c r="F5">
        <v>0.42599999999999999</v>
      </c>
      <c r="H5" t="s">
        <v>56</v>
      </c>
      <c r="I5">
        <f t="shared" si="1"/>
        <v>1651.5</v>
      </c>
      <c r="J5">
        <f t="shared" si="0"/>
        <v>29.299999999999997</v>
      </c>
      <c r="K5">
        <f t="shared" si="0"/>
        <v>35</v>
      </c>
      <c r="L5">
        <f t="shared" si="0"/>
        <v>42.6</v>
      </c>
    </row>
    <row r="6" spans="1:12" x14ac:dyDescent="0.25">
      <c r="A6" t="s">
        <v>16</v>
      </c>
      <c r="B6">
        <v>0</v>
      </c>
      <c r="C6">
        <v>0.36599999999999999</v>
      </c>
      <c r="D6">
        <v>0.123</v>
      </c>
      <c r="E6">
        <v>0.218</v>
      </c>
      <c r="F6">
        <v>6.7000000000000004E-2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</row>
    <row r="7" spans="1:12" x14ac:dyDescent="0.25">
      <c r="A7" t="s">
        <v>17</v>
      </c>
      <c r="B7">
        <v>21.123000000000001</v>
      </c>
      <c r="D7">
        <v>90.853999999999999</v>
      </c>
      <c r="E7">
        <v>3.4910000000000001</v>
      </c>
      <c r="F7">
        <v>2138.1210000000001</v>
      </c>
      <c r="H7">
        <f>B7</f>
        <v>21.123000000000001</v>
      </c>
      <c r="I7" s="3">
        <v>4526</v>
      </c>
      <c r="J7">
        <f t="shared" ref="J7:L7" si="2">D7</f>
        <v>90.853999999999999</v>
      </c>
      <c r="K7">
        <f t="shared" si="2"/>
        <v>3.4910000000000001</v>
      </c>
      <c r="L7" s="3">
        <f t="shared" si="2"/>
        <v>2138.1210000000001</v>
      </c>
    </row>
    <row r="8" spans="1:12" x14ac:dyDescent="0.25">
      <c r="A8" t="s">
        <v>18</v>
      </c>
      <c r="B8">
        <v>4.3999999999999997E-2</v>
      </c>
      <c r="C8">
        <v>11.622999999999999</v>
      </c>
      <c r="D8">
        <v>40.046999999999997</v>
      </c>
      <c r="E8">
        <v>3.9950000000000001</v>
      </c>
      <c r="F8">
        <v>3.5000000000000003E-2</v>
      </c>
      <c r="H8" t="s">
        <v>84</v>
      </c>
      <c r="I8">
        <f t="shared" ref="I8:I11" si="3">C8</f>
        <v>11.622999999999999</v>
      </c>
      <c r="J8">
        <f t="shared" ref="J8:J11" si="4">D8</f>
        <v>40.046999999999997</v>
      </c>
      <c r="K8">
        <f t="shared" ref="K8:K11" si="5">E8</f>
        <v>3.9950000000000001</v>
      </c>
      <c r="L8">
        <f t="shared" ref="L8:L11" si="6">F8</f>
        <v>3.5000000000000003E-2</v>
      </c>
    </row>
    <row r="9" spans="1:12" x14ac:dyDescent="0.25">
      <c r="A9" t="s">
        <v>19</v>
      </c>
      <c r="B9">
        <v>67.105999999999995</v>
      </c>
      <c r="C9">
        <v>1212.8440000000001</v>
      </c>
      <c r="D9">
        <v>67.971000000000004</v>
      </c>
      <c r="F9">
        <v>3.5</v>
      </c>
      <c r="H9">
        <f t="shared" ref="H9:H11" si="7">B9</f>
        <v>67.105999999999995</v>
      </c>
      <c r="I9" s="3">
        <f t="shared" si="3"/>
        <v>1212.8440000000001</v>
      </c>
      <c r="J9">
        <f t="shared" si="4"/>
        <v>67.971000000000004</v>
      </c>
      <c r="K9">
        <f t="shared" si="5"/>
        <v>0</v>
      </c>
      <c r="L9">
        <f t="shared" si="6"/>
        <v>3.5</v>
      </c>
    </row>
    <row r="10" spans="1:12" x14ac:dyDescent="0.25">
      <c r="A10" t="s">
        <v>20</v>
      </c>
      <c r="B10">
        <v>1.206</v>
      </c>
      <c r="C10">
        <v>78.575000000000003</v>
      </c>
      <c r="D10">
        <v>2.3570000000000002</v>
      </c>
      <c r="E10">
        <v>4.2000000000000003E-2</v>
      </c>
      <c r="F10">
        <v>1.4319999999999999</v>
      </c>
      <c r="H10">
        <f t="shared" si="7"/>
        <v>1.206</v>
      </c>
      <c r="I10">
        <f t="shared" si="3"/>
        <v>78.575000000000003</v>
      </c>
      <c r="J10">
        <f t="shared" si="4"/>
        <v>2.3570000000000002</v>
      </c>
      <c r="K10">
        <f t="shared" si="5"/>
        <v>4.2000000000000003E-2</v>
      </c>
      <c r="L10">
        <f t="shared" si="6"/>
        <v>1.4319999999999999</v>
      </c>
    </row>
    <row r="11" spans="1:12" x14ac:dyDescent="0.25">
      <c r="A11" t="s">
        <v>21</v>
      </c>
      <c r="B11">
        <v>1.198</v>
      </c>
      <c r="C11">
        <v>77.838999999999999</v>
      </c>
      <c r="D11">
        <v>2.3239999999999998</v>
      </c>
      <c r="E11">
        <v>7.6999999999999999E-2</v>
      </c>
      <c r="F11">
        <v>1.35</v>
      </c>
      <c r="H11">
        <f t="shared" si="7"/>
        <v>1.198</v>
      </c>
      <c r="I11">
        <f t="shared" si="3"/>
        <v>77.838999999999999</v>
      </c>
      <c r="J11">
        <f t="shared" si="4"/>
        <v>2.3239999999999998</v>
      </c>
      <c r="K11">
        <f t="shared" si="5"/>
        <v>7.6999999999999999E-2</v>
      </c>
      <c r="L11">
        <f t="shared" si="6"/>
        <v>1.35</v>
      </c>
    </row>
    <row r="13" spans="1:12" x14ac:dyDescent="0.25">
      <c r="A13" s="3" t="s">
        <v>86</v>
      </c>
    </row>
    <row r="15" spans="1:12" ht="60" x14ac:dyDescent="0.25">
      <c r="B15" s="2" t="s">
        <v>2</v>
      </c>
      <c r="C15" s="2" t="s">
        <v>4</v>
      </c>
      <c r="D15" s="2" t="s">
        <v>6</v>
      </c>
      <c r="E15" s="2" t="s">
        <v>8</v>
      </c>
      <c r="F15" s="2" t="s">
        <v>10</v>
      </c>
      <c r="H15" s="2" t="s">
        <v>51</v>
      </c>
      <c r="I15" s="2" t="s">
        <v>52</v>
      </c>
      <c r="J15" s="2" t="s">
        <v>53</v>
      </c>
      <c r="K15" s="2" t="s">
        <v>54</v>
      </c>
      <c r="L15" s="2" t="s">
        <v>55</v>
      </c>
    </row>
    <row r="16" spans="1:12" x14ac:dyDescent="0.25">
      <c r="A16" t="s">
        <v>76</v>
      </c>
      <c r="B16">
        <v>8.5999999999999993E-2</v>
      </c>
      <c r="C16">
        <v>7.8570000000000002</v>
      </c>
      <c r="D16">
        <v>2.7189999999999999</v>
      </c>
      <c r="E16">
        <v>0.10100000000000001</v>
      </c>
      <c r="F16">
        <v>2.0920000000000001</v>
      </c>
      <c r="H16" t="s">
        <v>56</v>
      </c>
      <c r="I16">
        <f>C16*100</f>
        <v>785.7</v>
      </c>
      <c r="J16">
        <f t="shared" ref="J16" si="8">D16*100</f>
        <v>271.89999999999998</v>
      </c>
      <c r="K16">
        <f t="shared" ref="K16" si="9">E16*100</f>
        <v>10.100000000000001</v>
      </c>
      <c r="L16">
        <f t="shared" ref="L16" si="10">F16*100</f>
        <v>209.20000000000002</v>
      </c>
    </row>
    <row r="17" spans="1:14" x14ac:dyDescent="0.25">
      <c r="A17" t="s">
        <v>77</v>
      </c>
      <c r="B17">
        <v>0.57199999999999995</v>
      </c>
      <c r="C17">
        <v>82.896000000000001</v>
      </c>
      <c r="D17">
        <v>3.113</v>
      </c>
      <c r="E17">
        <v>0.152</v>
      </c>
      <c r="F17">
        <v>5.7439999999999998</v>
      </c>
      <c r="H17">
        <f>B17*10</f>
        <v>5.72</v>
      </c>
      <c r="I17">
        <f t="shared" ref="I17:L17" si="11">C17*10</f>
        <v>828.96</v>
      </c>
      <c r="J17">
        <f t="shared" si="11"/>
        <v>31.13</v>
      </c>
      <c r="K17">
        <f t="shared" si="11"/>
        <v>1.52</v>
      </c>
      <c r="L17">
        <f t="shared" si="11"/>
        <v>57.44</v>
      </c>
    </row>
    <row r="18" spans="1:14" x14ac:dyDescent="0.25">
      <c r="A18" t="s">
        <v>78</v>
      </c>
      <c r="B18">
        <v>1.5309999999999999</v>
      </c>
      <c r="C18">
        <v>175.821</v>
      </c>
      <c r="D18">
        <v>0.20799999999999999</v>
      </c>
      <c r="E18">
        <v>3.0059999999999998</v>
      </c>
      <c r="F18">
        <v>3.1509999999999998</v>
      </c>
      <c r="H18">
        <f>B18*10</f>
        <v>15.309999999999999</v>
      </c>
      <c r="I18">
        <f t="shared" ref="I18" si="12">C18*10</f>
        <v>1758.21</v>
      </c>
      <c r="J18">
        <f t="shared" ref="J18" si="13">D18*10</f>
        <v>2.08</v>
      </c>
      <c r="K18">
        <f t="shared" ref="K18" si="14">E18*10</f>
        <v>30.06</v>
      </c>
      <c r="L18">
        <f t="shared" ref="L18" si="15">F18*10</f>
        <v>31.509999999999998</v>
      </c>
    </row>
    <row r="19" spans="1:14" x14ac:dyDescent="0.25">
      <c r="A19" t="s">
        <v>16</v>
      </c>
      <c r="C19">
        <v>4.3999999999999997E-2</v>
      </c>
      <c r="D19">
        <v>4.1000000000000002E-2</v>
      </c>
      <c r="E19">
        <v>4.3999999999999997E-2</v>
      </c>
      <c r="F19">
        <v>2.3E-2</v>
      </c>
      <c r="H19" t="s">
        <v>83</v>
      </c>
      <c r="I19" t="s">
        <v>84</v>
      </c>
      <c r="J19" t="s">
        <v>84</v>
      </c>
      <c r="K19" t="s">
        <v>84</v>
      </c>
      <c r="L19" t="s">
        <v>84</v>
      </c>
    </row>
    <row r="20" spans="1:14" x14ac:dyDescent="0.25">
      <c r="A20" t="s">
        <v>79</v>
      </c>
      <c r="B20">
        <v>0.26500000000000001</v>
      </c>
      <c r="C20">
        <v>85.989000000000004</v>
      </c>
      <c r="D20">
        <v>0.94599999999999995</v>
      </c>
      <c r="E20">
        <v>0.04</v>
      </c>
      <c r="F20">
        <v>24.713000000000001</v>
      </c>
      <c r="H20">
        <f>B20*100</f>
        <v>26.5</v>
      </c>
      <c r="I20">
        <f t="shared" ref="I20:L20" si="16">C20*100</f>
        <v>8598.9</v>
      </c>
      <c r="J20">
        <f t="shared" si="16"/>
        <v>94.6</v>
      </c>
      <c r="K20" s="40" t="s">
        <v>84</v>
      </c>
      <c r="L20">
        <f t="shared" si="16"/>
        <v>2471.3000000000002</v>
      </c>
      <c r="N20" s="40" t="s">
        <v>87</v>
      </c>
    </row>
    <row r="21" spans="1:14" x14ac:dyDescent="0.25">
      <c r="A21" t="s">
        <v>85</v>
      </c>
      <c r="B21">
        <v>4.2999999999999997E-2</v>
      </c>
      <c r="C21">
        <v>11.57</v>
      </c>
      <c r="D21">
        <v>41.323999999999998</v>
      </c>
      <c r="E21">
        <v>3.4940000000000002</v>
      </c>
      <c r="F21">
        <v>4.9000000000000002E-2</v>
      </c>
      <c r="H21" t="s">
        <v>84</v>
      </c>
      <c r="I21">
        <f>C21</f>
        <v>11.57</v>
      </c>
      <c r="J21">
        <f t="shared" ref="J21:L21" si="17">D21</f>
        <v>41.323999999999998</v>
      </c>
      <c r="K21">
        <f t="shared" si="17"/>
        <v>3.4940000000000002</v>
      </c>
      <c r="L21">
        <f t="shared" si="17"/>
        <v>4.9000000000000002E-2</v>
      </c>
    </row>
    <row r="22" spans="1:14" x14ac:dyDescent="0.25">
      <c r="A22" t="s">
        <v>80</v>
      </c>
      <c r="B22">
        <v>0.95799999999999996</v>
      </c>
      <c r="C22">
        <v>14.055</v>
      </c>
      <c r="D22">
        <v>0.78600000000000003</v>
      </c>
      <c r="E22">
        <v>0.105</v>
      </c>
      <c r="F22">
        <v>1.0489999999999999</v>
      </c>
      <c r="H22">
        <f>B22*100</f>
        <v>95.8</v>
      </c>
      <c r="I22">
        <f t="shared" ref="I22:L22" si="18">C22*100</f>
        <v>1405.5</v>
      </c>
      <c r="J22">
        <f t="shared" si="18"/>
        <v>78.600000000000009</v>
      </c>
      <c r="K22">
        <f t="shared" si="18"/>
        <v>10.5</v>
      </c>
      <c r="L22">
        <f t="shared" si="18"/>
        <v>104.89999999999999</v>
      </c>
    </row>
    <row r="23" spans="1:14" x14ac:dyDescent="0.25">
      <c r="A23" t="s">
        <v>20</v>
      </c>
      <c r="B23">
        <v>1.0680000000000001</v>
      </c>
      <c r="C23">
        <v>82.337000000000003</v>
      </c>
      <c r="D23">
        <v>2.6040000000000001</v>
      </c>
      <c r="E23">
        <v>3.5000000000000003E-2</v>
      </c>
      <c r="F23">
        <v>1.5580000000000001</v>
      </c>
      <c r="H23">
        <f>B23</f>
        <v>1.0680000000000001</v>
      </c>
      <c r="I23">
        <f t="shared" ref="I23:L23" si="19">C23</f>
        <v>82.337000000000003</v>
      </c>
      <c r="J23">
        <f t="shared" si="19"/>
        <v>2.6040000000000001</v>
      </c>
      <c r="K23" t="s">
        <v>84</v>
      </c>
      <c r="L23">
        <f t="shared" si="19"/>
        <v>1.5580000000000001</v>
      </c>
    </row>
    <row r="24" spans="1:14" x14ac:dyDescent="0.25">
      <c r="A24" t="s">
        <v>21</v>
      </c>
      <c r="B24">
        <v>1.081</v>
      </c>
      <c r="C24">
        <v>80.52</v>
      </c>
      <c r="D24">
        <v>2.629</v>
      </c>
      <c r="E24">
        <v>2.9000000000000001E-2</v>
      </c>
      <c r="F24">
        <v>1.5269999999999999</v>
      </c>
      <c r="H24">
        <f>B24</f>
        <v>1.081</v>
      </c>
      <c r="I24">
        <f t="shared" ref="I24" si="20">C24</f>
        <v>80.52</v>
      </c>
      <c r="J24">
        <f t="shared" ref="J24" si="21">D24</f>
        <v>2.629</v>
      </c>
      <c r="K24" t="s">
        <v>84</v>
      </c>
      <c r="L24">
        <f t="shared" ref="L24" si="22">F24</f>
        <v>1.5269999999999999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6B06-69F1-4C1C-A3CA-819624A5F439}">
  <dimension ref="A1:H12"/>
  <sheetViews>
    <sheetView tabSelected="1" workbookViewId="0">
      <selection activeCell="E32" sqref="E32"/>
    </sheetView>
  </sheetViews>
  <sheetFormatPr defaultRowHeight="15" x14ac:dyDescent="0.25"/>
  <cols>
    <col min="1" max="1" width="32.140625" customWidth="1"/>
  </cols>
  <sheetData>
    <row r="1" spans="1:8" s="1" customFormat="1" ht="30.75" thickBot="1" x14ac:dyDescent="0.3">
      <c r="A1" s="49" t="s">
        <v>0</v>
      </c>
      <c r="B1" s="50" t="s">
        <v>51</v>
      </c>
      <c r="C1" s="50" t="s">
        <v>52</v>
      </c>
      <c r="D1" s="50" t="s">
        <v>53</v>
      </c>
      <c r="E1" s="50" t="s">
        <v>54</v>
      </c>
      <c r="F1" s="51" t="s">
        <v>55</v>
      </c>
    </row>
    <row r="2" spans="1:8" x14ac:dyDescent="0.25">
      <c r="A2" t="s">
        <v>76</v>
      </c>
      <c r="B2" t="s">
        <v>56</v>
      </c>
      <c r="C2">
        <v>785.7</v>
      </c>
      <c r="D2">
        <v>271.89999999999998</v>
      </c>
      <c r="E2">
        <v>10.100000000000001</v>
      </c>
      <c r="F2">
        <v>209.20000000000002</v>
      </c>
    </row>
    <row r="3" spans="1:8" x14ac:dyDescent="0.25">
      <c r="A3" t="s">
        <v>77</v>
      </c>
      <c r="B3">
        <v>5.72</v>
      </c>
      <c r="C3">
        <v>828.96</v>
      </c>
      <c r="D3">
        <v>31.13</v>
      </c>
      <c r="E3">
        <v>1.52</v>
      </c>
      <c r="F3">
        <v>57.44</v>
      </c>
    </row>
    <row r="4" spans="1:8" x14ac:dyDescent="0.25">
      <c r="A4" t="s">
        <v>78</v>
      </c>
      <c r="B4">
        <v>15.309999999999999</v>
      </c>
      <c r="C4">
        <v>1758.21</v>
      </c>
      <c r="D4">
        <v>2.08</v>
      </c>
      <c r="E4">
        <v>30.06</v>
      </c>
      <c r="F4">
        <v>31.509999999999998</v>
      </c>
    </row>
    <row r="5" spans="1:8" x14ac:dyDescent="0.25">
      <c r="A5" t="s">
        <v>16</v>
      </c>
      <c r="B5" t="s">
        <v>83</v>
      </c>
      <c r="C5" t="s">
        <v>84</v>
      </c>
      <c r="D5" t="s">
        <v>84</v>
      </c>
      <c r="E5" t="s">
        <v>84</v>
      </c>
      <c r="F5" t="s">
        <v>84</v>
      </c>
    </row>
    <row r="7" spans="1:8" x14ac:dyDescent="0.25">
      <c r="A7" t="s">
        <v>79</v>
      </c>
      <c r="B7">
        <v>26.5</v>
      </c>
      <c r="C7">
        <v>8598.9</v>
      </c>
      <c r="D7">
        <v>94.6</v>
      </c>
      <c r="E7" s="40" t="s">
        <v>84</v>
      </c>
      <c r="F7">
        <v>2471.3000000000002</v>
      </c>
      <c r="H7" s="40" t="s">
        <v>87</v>
      </c>
    </row>
    <row r="8" spans="1:8" x14ac:dyDescent="0.25">
      <c r="A8" t="s">
        <v>85</v>
      </c>
      <c r="B8" t="s">
        <v>84</v>
      </c>
      <c r="C8">
        <v>11.57</v>
      </c>
      <c r="D8">
        <v>41.323999999999998</v>
      </c>
      <c r="E8">
        <v>3.4940000000000002</v>
      </c>
      <c r="F8">
        <v>4.9000000000000002E-2</v>
      </c>
    </row>
    <row r="9" spans="1:8" x14ac:dyDescent="0.25">
      <c r="A9" t="s">
        <v>80</v>
      </c>
      <c r="B9">
        <v>95.8</v>
      </c>
      <c r="C9">
        <v>1405.5</v>
      </c>
      <c r="D9">
        <v>78.600000000000009</v>
      </c>
      <c r="E9">
        <v>10.5</v>
      </c>
      <c r="F9">
        <v>104.89999999999999</v>
      </c>
    </row>
    <row r="10" spans="1:8" x14ac:dyDescent="0.25">
      <c r="A10" t="s">
        <v>20</v>
      </c>
      <c r="B10">
        <v>1.0680000000000001</v>
      </c>
      <c r="C10">
        <v>82.337000000000003</v>
      </c>
      <c r="D10">
        <v>2.6040000000000001</v>
      </c>
      <c r="E10" t="s">
        <v>84</v>
      </c>
      <c r="F10">
        <v>1.5580000000000001</v>
      </c>
    </row>
    <row r="11" spans="1:8" x14ac:dyDescent="0.25">
      <c r="A11" t="s">
        <v>21</v>
      </c>
      <c r="B11">
        <v>1.081</v>
      </c>
      <c r="C11">
        <v>80.52</v>
      </c>
      <c r="D11">
        <v>2.629</v>
      </c>
      <c r="E11" t="s">
        <v>84</v>
      </c>
      <c r="F11">
        <v>1.5269999999999999</v>
      </c>
    </row>
    <row r="12" spans="1:8" x14ac:dyDescent="0.25">
      <c r="A1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FBA2-0825-40D8-B3B3-F1273E28EAA0}">
  <dimension ref="B1:F28"/>
  <sheetViews>
    <sheetView workbookViewId="0">
      <selection activeCell="C12" sqref="C12"/>
    </sheetView>
  </sheetViews>
  <sheetFormatPr defaultColWidth="9" defaultRowHeight="15" x14ac:dyDescent="0.25"/>
  <cols>
    <col min="2" max="2" width="20.42578125" customWidth="1"/>
    <col min="3" max="3" width="28.7109375" bestFit="1" customWidth="1"/>
    <col min="4" max="4" width="21" bestFit="1" customWidth="1"/>
    <col min="5" max="5" width="23" bestFit="1" customWidth="1"/>
    <col min="6" max="6" width="25" bestFit="1" customWidth="1"/>
  </cols>
  <sheetData>
    <row r="1" spans="2:6" x14ac:dyDescent="0.25">
      <c r="B1" s="42" t="s">
        <v>57</v>
      </c>
      <c r="C1" s="42"/>
      <c r="D1" s="42"/>
      <c r="E1" s="42"/>
      <c r="F1" s="42"/>
    </row>
    <row r="2" spans="2:6" x14ac:dyDescent="0.25">
      <c r="B2" s="42" t="s">
        <v>58</v>
      </c>
      <c r="C2" s="42"/>
      <c r="D2" s="42"/>
      <c r="E2" s="42"/>
      <c r="F2" s="42"/>
    </row>
    <row r="3" spans="2:6" x14ac:dyDescent="0.25">
      <c r="B3" s="42" t="s">
        <v>59</v>
      </c>
      <c r="C3" s="42"/>
      <c r="D3" s="42"/>
      <c r="E3" s="42"/>
      <c r="F3" s="42"/>
    </row>
    <row r="4" spans="2:6" ht="15.75" thickBot="1" x14ac:dyDescent="0.3">
      <c r="C4" s="4"/>
    </row>
    <row r="5" spans="2:6" x14ac:dyDescent="0.25">
      <c r="B5" s="5" t="s">
        <v>60</v>
      </c>
      <c r="C5" s="43" t="s">
        <v>61</v>
      </c>
      <c r="D5" s="44"/>
      <c r="E5" s="45" t="s">
        <v>73</v>
      </c>
      <c r="F5" s="46"/>
    </row>
    <row r="6" spans="2:6" ht="15.75" thickBot="1" x14ac:dyDescent="0.3">
      <c r="B6" s="6" t="s">
        <v>62</v>
      </c>
      <c r="C6" s="7">
        <v>45712</v>
      </c>
      <c r="D6" s="8"/>
      <c r="E6" s="47" t="s">
        <v>72</v>
      </c>
      <c r="F6" s="48"/>
    </row>
    <row r="7" spans="2:6" ht="45" x14ac:dyDescent="0.25">
      <c r="B7" s="9" t="s">
        <v>63</v>
      </c>
      <c r="C7" s="10" t="s">
        <v>64</v>
      </c>
      <c r="D7" s="10" t="s">
        <v>65</v>
      </c>
      <c r="E7" s="10" t="s">
        <v>66</v>
      </c>
      <c r="F7" s="11" t="s">
        <v>67</v>
      </c>
    </row>
    <row r="8" spans="2:6" s="16" customFormat="1" x14ac:dyDescent="0.25">
      <c r="B8" s="12" t="s">
        <v>88</v>
      </c>
      <c r="C8" s="13"/>
      <c r="D8" s="14"/>
      <c r="E8" s="13"/>
      <c r="F8" s="15"/>
    </row>
    <row r="9" spans="2:6" s="16" customFormat="1" x14ac:dyDescent="0.25">
      <c r="B9" s="12"/>
      <c r="C9" s="13"/>
      <c r="D9" s="14"/>
      <c r="E9" s="13"/>
      <c r="F9" s="17"/>
    </row>
    <row r="10" spans="2:6" s="16" customFormat="1" x14ac:dyDescent="0.25">
      <c r="B10" s="12"/>
      <c r="C10" s="18"/>
      <c r="D10" s="14"/>
      <c r="E10" s="19"/>
      <c r="F10" s="20"/>
    </row>
    <row r="11" spans="2:6" x14ac:dyDescent="0.25">
      <c r="B11" s="21"/>
      <c r="C11" s="22"/>
      <c r="D11" s="13"/>
      <c r="E11" s="13"/>
      <c r="F11" s="23"/>
    </row>
    <row r="12" spans="2:6" x14ac:dyDescent="0.25">
      <c r="B12" s="21"/>
      <c r="C12" s="24"/>
      <c r="D12" s="24"/>
      <c r="E12" s="24"/>
      <c r="F12" s="25"/>
    </row>
    <row r="13" spans="2:6" x14ac:dyDescent="0.25">
      <c r="B13" s="26"/>
      <c r="C13" s="8"/>
      <c r="D13" s="8"/>
      <c r="E13" s="8"/>
      <c r="F13" s="27"/>
    </row>
    <row r="14" spans="2:6" x14ac:dyDescent="0.25">
      <c r="B14" s="26"/>
      <c r="C14" s="8"/>
      <c r="D14" s="8"/>
      <c r="E14" s="8"/>
      <c r="F14" s="28"/>
    </row>
    <row r="15" spans="2:6" x14ac:dyDescent="0.25">
      <c r="B15" s="26"/>
      <c r="C15" s="8"/>
      <c r="D15" s="8"/>
      <c r="E15" s="8"/>
      <c r="F15" s="29"/>
    </row>
    <row r="16" spans="2:6" x14ac:dyDescent="0.25">
      <c r="B16" s="26"/>
      <c r="C16" s="8"/>
      <c r="D16" s="8"/>
      <c r="E16" s="8"/>
      <c r="F16" s="29"/>
    </row>
    <row r="17" spans="2:6" x14ac:dyDescent="0.25">
      <c r="B17" s="26"/>
      <c r="C17" s="8"/>
      <c r="D17" s="8"/>
      <c r="E17" s="8"/>
      <c r="F17" s="29"/>
    </row>
    <row r="18" spans="2:6" x14ac:dyDescent="0.25">
      <c r="B18" s="26"/>
      <c r="C18" s="8"/>
      <c r="D18" s="8"/>
      <c r="E18" s="8"/>
      <c r="F18" s="29"/>
    </row>
    <row r="19" spans="2:6" x14ac:dyDescent="0.25">
      <c r="B19" s="26"/>
      <c r="C19" s="8"/>
      <c r="D19" s="8"/>
      <c r="E19" s="8"/>
      <c r="F19" s="29"/>
    </row>
    <row r="20" spans="2:6" x14ac:dyDescent="0.25">
      <c r="B20" s="26"/>
      <c r="C20" s="8"/>
      <c r="D20" s="8"/>
      <c r="E20" s="8"/>
      <c r="F20" s="17"/>
    </row>
    <row r="21" spans="2:6" x14ac:dyDescent="0.25">
      <c r="B21" s="26"/>
      <c r="C21" s="8"/>
      <c r="D21" s="8"/>
      <c r="E21" s="8"/>
      <c r="F21" s="15"/>
    </row>
    <row r="22" spans="2:6" ht="15.75" thickBot="1" x14ac:dyDescent="0.3">
      <c r="B22" s="30"/>
      <c r="C22" s="31"/>
      <c r="D22" s="31"/>
      <c r="E22" s="31"/>
      <c r="F22" s="32"/>
    </row>
    <row r="24" spans="2:6" ht="15.75" thickBot="1" x14ac:dyDescent="0.3">
      <c r="B24" s="33" t="s">
        <v>68</v>
      </c>
      <c r="C24" s="41"/>
      <c r="D24" s="41"/>
      <c r="F24" s="34"/>
    </row>
    <row r="25" spans="2:6" x14ac:dyDescent="0.25">
      <c r="C25" s="35" t="s">
        <v>69</v>
      </c>
      <c r="F25" s="35" t="s">
        <v>70</v>
      </c>
    </row>
    <row r="27" spans="2:6" ht="15.75" thickBot="1" x14ac:dyDescent="0.3">
      <c r="C27" s="36"/>
      <c r="D27" s="36"/>
      <c r="F27" s="36"/>
    </row>
    <row r="28" spans="2:6" x14ac:dyDescent="0.25">
      <c r="C28" s="37" t="s">
        <v>71</v>
      </c>
      <c r="D28" s="37"/>
      <c r="F28" s="35" t="s">
        <v>70</v>
      </c>
    </row>
  </sheetData>
  <mergeCells count="7">
    <mergeCell ref="C24:D24"/>
    <mergeCell ref="B1:F1"/>
    <mergeCell ref="B2:F2"/>
    <mergeCell ref="B3:F3"/>
    <mergeCell ref="C5:D5"/>
    <mergeCell ref="E5:F5"/>
    <mergeCell ref="E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Mario Data</vt:lpstr>
      <vt:lpstr>calibration</vt:lpstr>
      <vt:lpstr>qaqc</vt:lpstr>
      <vt:lpstr>process</vt:lpstr>
      <vt:lpstr>results</vt:lpstr>
      <vt:lpstr>discrepancy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Metrohm IC</dc:creator>
  <cp:lastModifiedBy>Michael J Glinski</cp:lastModifiedBy>
  <dcterms:created xsi:type="dcterms:W3CDTF">2025-03-01T20:15:54Z</dcterms:created>
  <dcterms:modified xsi:type="dcterms:W3CDTF">2025-03-04T18:17:17Z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