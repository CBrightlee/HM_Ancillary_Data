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Christian Bright/"/>
    </mc:Choice>
  </mc:AlternateContent>
  <xr:revisionPtr revIDLastSave="45" documentId="13_ncr:1_{96A19A0E-D4F1-4F10-AA3D-22703EA97789}" xr6:coauthVersionLast="47" xr6:coauthVersionMax="47" xr10:uidLastSave="{836D4376-EFDE-499B-B1A7-A8956B536685}"/>
  <bookViews>
    <workbookView xWindow="-120" yWindow="-120" windowWidth="29040" windowHeight="15840" activeTab="5" xr2:uid="{00000000-000D-0000-FFFF-FFFF00000000}"/>
  </bookViews>
  <sheets>
    <sheet name="Concentrations" sheetId="5" r:id="rId1"/>
    <sheet name="Calibration" sheetId="10" r:id="rId2"/>
    <sheet name="QAQC" sheetId="11" r:id="rId3"/>
    <sheet name="Raw Results" sheetId="20" r:id="rId4"/>
    <sheet name="Processed Results" sheetId="13" r:id="rId5"/>
    <sheet name="Reported Results" sheetId="14" r:id="rId6"/>
    <sheet name="Raw Intensities" sheetId="1" r:id="rId7"/>
    <sheet name="Raw Intensities RSDs" sheetId="2" r:id="rId8"/>
    <sheet name="Net Intensities" sheetId="3" r:id="rId9"/>
    <sheet name="Net Intensities RSDs" sheetId="4" r:id="rId10"/>
    <sheet name="Concentrations RSDs" sheetId="6" r:id="rId11"/>
    <sheet name="Unfactored Concentrations" sheetId="7" r:id="rId12"/>
    <sheet name="Internal Standards" sheetId="8" r:id="rId13"/>
    <sheet name="QC" sheetId="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20" l="1"/>
  <c r="AL3" i="20"/>
  <c r="AL4" i="20"/>
  <c r="AM4" i="20"/>
  <c r="AN4" i="20"/>
  <c r="AO4" i="20"/>
  <c r="AP4" i="20"/>
  <c r="AQ4" i="20"/>
  <c r="AR4" i="20"/>
  <c r="AS4" i="20"/>
  <c r="AT4" i="20"/>
  <c r="AU4" i="20"/>
  <c r="AV4" i="20"/>
  <c r="AW4" i="20"/>
  <c r="AX4" i="20"/>
  <c r="AY4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K5" i="20"/>
  <c r="AK6" i="20"/>
  <c r="AK7" i="20"/>
  <c r="AK4" i="20"/>
  <c r="AJ4" i="20"/>
  <c r="AJ5" i="20"/>
  <c r="AJ6" i="20"/>
  <c r="AJ7" i="20"/>
  <c r="AB5" i="20"/>
  <c r="AC5" i="20"/>
  <c r="AD5" i="20"/>
  <c r="AE5" i="20"/>
  <c r="AF5" i="20"/>
  <c r="AG5" i="20"/>
  <c r="AH5" i="20"/>
  <c r="AI5" i="20"/>
  <c r="AB6" i="20"/>
  <c r="AC6" i="20"/>
  <c r="AD6" i="20"/>
  <c r="AE6" i="20"/>
  <c r="AF6" i="20"/>
  <c r="AG6" i="20"/>
  <c r="AH6" i="20"/>
  <c r="AI6" i="20"/>
  <c r="AB7" i="20"/>
  <c r="AC7" i="20"/>
  <c r="AD7" i="20"/>
  <c r="AE7" i="20"/>
  <c r="AF7" i="20"/>
  <c r="AG7" i="20"/>
  <c r="AH7" i="20"/>
  <c r="AI7" i="20"/>
  <c r="AC4" i="20"/>
  <c r="AD4" i="20"/>
  <c r="AE4" i="20"/>
  <c r="AF4" i="20"/>
  <c r="AG4" i="20"/>
  <c r="AH4" i="20"/>
  <c r="AI4" i="20"/>
  <c r="C13" i="11" l="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20" i="11"/>
  <c r="B13" i="11"/>
  <c r="Z7" i="11"/>
  <c r="Z6" i="11"/>
  <c r="AB3" i="20"/>
  <c r="AC3" i="20"/>
  <c r="AD3" i="20"/>
  <c r="AE3" i="20"/>
  <c r="AF3" i="20"/>
  <c r="AG3" i="20"/>
  <c r="AH3" i="20"/>
  <c r="AI3" i="20"/>
  <c r="AJ3" i="20"/>
  <c r="AK3" i="20"/>
  <c r="AM3" i="20"/>
  <c r="AN3" i="20"/>
  <c r="AO3" i="20"/>
  <c r="AP3" i="20"/>
  <c r="AQ3" i="20"/>
  <c r="AR3" i="20"/>
  <c r="AS3" i="20"/>
  <c r="AT3" i="20"/>
  <c r="AU3" i="20"/>
  <c r="AV3" i="20"/>
  <c r="AW3" i="20"/>
  <c r="AX3" i="20"/>
  <c r="AY3" i="20"/>
  <c r="AJ103" i="20"/>
  <c r="AJ104" i="20"/>
  <c r="O89" i="14" l="1"/>
  <c r="N89" i="14"/>
  <c r="M89" i="14"/>
  <c r="L89" i="14"/>
  <c r="K89" i="14"/>
  <c r="J89" i="14"/>
  <c r="I89" i="14"/>
  <c r="O87" i="14"/>
  <c r="N87" i="14"/>
  <c r="M87" i="14"/>
  <c r="L87" i="14"/>
  <c r="K87" i="14"/>
  <c r="J87" i="14"/>
  <c r="I87" i="14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AJ4" i="11"/>
  <c r="AI4" i="11"/>
  <c r="AH4" i="11"/>
  <c r="AG4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</calcChain>
</file>

<file path=xl/sharedStrings.xml><?xml version="1.0" encoding="utf-8"?>
<sst xmlns="http://schemas.openxmlformats.org/spreadsheetml/2006/main" count="1583" uniqueCount="219">
  <si>
    <t>P 31</t>
  </si>
  <si>
    <t>Sr 88
(cps)</t>
  </si>
  <si>
    <t>Al 27
(ug/L)</t>
  </si>
  <si>
    <t>Std5-500ppb</t>
  </si>
  <si>
    <t>C:\Users\Public\Documents\PerkinElmer Syngistix\ICPMS\DataSet\Mike G\January 2025\Rinse.041</t>
  </si>
  <si>
    <t>1/30/2025 11:16:58 AM</t>
  </si>
  <si>
    <t>1/30/2025 12:00:10 PM</t>
  </si>
  <si>
    <t>C:\Users\Public\Documents\PerkinElmer Syngistix\ICPMS\DataSet\Mike G\January 2025\CCB2.055</t>
  </si>
  <si>
    <t>LCB</t>
  </si>
  <si>
    <t>P 31
(ug/L)</t>
  </si>
  <si>
    <t>Co 59</t>
  </si>
  <si>
    <t>QCB</t>
  </si>
  <si>
    <t>Ni 60
(ug/L)</t>
  </si>
  <si>
    <t>Se 82
(ug/L)</t>
  </si>
  <si>
    <t>Blank</t>
  </si>
  <si>
    <t>C:\Users\Public\Documents\PerkinElmer Syngistix\ICPMS\DataSet\Mike G\January 2025\CCV2.054</t>
  </si>
  <si>
    <t>C:\Users\Public\Documents\PerkinElmer Syngistix\ICPMS\DataSet\Mike G\January 2025\Std1-5ppb.034</t>
  </si>
  <si>
    <t>Mo 96
(cps)</t>
  </si>
  <si>
    <t>Ca-44 44
Helium KED
(ug/L)</t>
  </si>
  <si>
    <t>Se 78
(ug/L)</t>
  </si>
  <si>
    <t>Ca-44std 44
(cps)</t>
  </si>
  <si>
    <t>Ca-44 44
Helium KED</t>
  </si>
  <si>
    <t>MDL(2.5)</t>
  </si>
  <si>
    <t>1/30/2025 12:24:48 PM</t>
  </si>
  <si>
    <t>S</t>
  </si>
  <si>
    <t>Co 59
(cps)</t>
  </si>
  <si>
    <t>Ni 60
(cps)</t>
  </si>
  <si>
    <t>C:\Users\Public\Documents\PerkinElmer Syngistix\ICPMS\DataSet\Mike G\January 2025\Blank.031</t>
  </si>
  <si>
    <t>Pb 207
(ug/L)</t>
  </si>
  <si>
    <t>C:\Users\Public\Documents\PerkinElmer Syngistix\ICPMS\DataSet\Mike G\January 2025\Rinse.045</t>
  </si>
  <si>
    <t>Mg 24</t>
  </si>
  <si>
    <t>C:\Users\Public\Documents\PerkinElmer Syngistix\ICPMS\DataSet\Mike G\January 2025\QCS-200ppb-1y.NO3.042</t>
  </si>
  <si>
    <t>Mn 55
(cps)</t>
  </si>
  <si>
    <t>K 39</t>
  </si>
  <si>
    <t>1/30/2025 11:23:08 AM</t>
  </si>
  <si>
    <t>1/30/2025 11:41:41 AM</t>
  </si>
  <si>
    <t>Si 28
(ug/L)</t>
  </si>
  <si>
    <t>Std1-5ppb</t>
  </si>
  <si>
    <t>Cd 113</t>
  </si>
  <si>
    <t>Mo 96
(ug/L)</t>
  </si>
  <si>
    <t>Na 23
(ug/L)</t>
  </si>
  <si>
    <t>Std3-50ppb</t>
  </si>
  <si>
    <t>Acquisition Time</t>
  </si>
  <si>
    <t>Se 82
(cps)</t>
  </si>
  <si>
    <t>Se 78
(cps)</t>
  </si>
  <si>
    <t>Ca-44 44
Helium KED
(cps)</t>
  </si>
  <si>
    <t>Se 78</t>
  </si>
  <si>
    <t>K 39
(ug/L)</t>
  </si>
  <si>
    <t>C:\Users\Public\Documents\PerkinElmer Syngistix\ICPMS\DataSet\Mike G\January 2025\CA check 500 ppb-1y.NO3.044</t>
  </si>
  <si>
    <t>CA check 500 ppb-1y.NO3</t>
  </si>
  <si>
    <t>Std2-20ppb</t>
  </si>
  <si>
    <t>CCV1</t>
  </si>
  <si>
    <t>Cal Curve 1</t>
  </si>
  <si>
    <t>1/30/2025 11:54:00 AM</t>
  </si>
  <si>
    <t>Fe 57</t>
  </si>
  <si>
    <t>QC Status</t>
  </si>
  <si>
    <t>C:\Users\Public\Documents\PerkinElmer Syngistix\ICPMS\DataSet\Mike G\January 2025\CCV1.047</t>
  </si>
  <si>
    <t>Si 28</t>
  </si>
  <si>
    <t>Cd 113
(ug/L)</t>
  </si>
  <si>
    <t>1/30/2025 12:12:28 PM</t>
  </si>
  <si>
    <t>1/30/2025 11:29:19 AM</t>
  </si>
  <si>
    <t>Pb 206</t>
  </si>
  <si>
    <t>Ca-43 43
Helium KED</t>
  </si>
  <si>
    <t>Ni 60</t>
  </si>
  <si>
    <t>K 39
(cps)</t>
  </si>
  <si>
    <t>P 31
(cps)</t>
  </si>
  <si>
    <t>1/30/2025 12:30:58 PM</t>
  </si>
  <si>
    <t xml:space="preserve"> </t>
  </si>
  <si>
    <t>C:\Users\Public\Documents\PerkinElmer Syngistix\ICPMS\DataSet\Mike G\January 2025\MDL(2.5).046</t>
  </si>
  <si>
    <t>Co 59
(ug/L)</t>
  </si>
  <si>
    <t>1/30/2025 1:26:37 PM</t>
  </si>
  <si>
    <t>C:\Users\Public\Documents\PerkinElmer Syngistix\ICPMS\DataSet\Mike G\January 2025\Std5-500ppb.038</t>
  </si>
  <si>
    <t>QCS-200ppb-1y.NO3</t>
  </si>
  <si>
    <t>Mg 24
(cps)</t>
  </si>
  <si>
    <t>C:\Users\Public\Documents\PerkinElmer Syngistix\ICPMS\DataSet\Mike G\January 2025\LCB.053</t>
  </si>
  <si>
    <t>CCB2</t>
  </si>
  <si>
    <t>C:\Users\Public\Documents\PerkinElmer Syngistix\ICPMS\DataSet\Mike G\January 2025\Blank.033</t>
  </si>
  <si>
    <t>Dataset File</t>
  </si>
  <si>
    <t>Rinse</t>
  </si>
  <si>
    <t>Ca-43std 43
(ug/L)</t>
  </si>
  <si>
    <t>Ca-44std 44
(ug/L)</t>
  </si>
  <si>
    <t>Pb 206
(ug/L)</t>
  </si>
  <si>
    <t>Sr 88
(ug/L)</t>
  </si>
  <si>
    <t>Calibration Curves</t>
  </si>
  <si>
    <t>Std6-2000ppb</t>
  </si>
  <si>
    <t>C:\Users\Public\Documents\PerkinElmer Syngistix\ICPMS\DataSet\Mike G\January 2025\CCB1.048</t>
  </si>
  <si>
    <t>1/30/2025 11:35:30 AM</t>
  </si>
  <si>
    <t>Cu 63
(ug/L)</t>
  </si>
  <si>
    <t>Na 23</t>
  </si>
  <si>
    <t>Pb 207
(cps)</t>
  </si>
  <si>
    <t>Pb 206
(cps)</t>
  </si>
  <si>
    <t>Mo 96</t>
  </si>
  <si>
    <t>1/30/2025 12:55:42 PM</t>
  </si>
  <si>
    <t>Al 27</t>
  </si>
  <si>
    <t>C:\Users\Public\Documents\PerkinElmer Syngistix\ICPMS\DataSet\Mike G\January 2025\Std4-200ppb.037</t>
  </si>
  <si>
    <t>MWR NE</t>
  </si>
  <si>
    <t>1/30/2025 10:58:30 AM</t>
  </si>
  <si>
    <t>CCV2</t>
  </si>
  <si>
    <t>Std4-200ppb</t>
  </si>
  <si>
    <t>R</t>
  </si>
  <si>
    <t>1/30/2025 10:52:20 AM</t>
  </si>
  <si>
    <t>1/30/2025 12:49:31 PM</t>
  </si>
  <si>
    <t>Cd 113
(cps)</t>
  </si>
  <si>
    <t>1/30/2025 11:04:39 AM</t>
  </si>
  <si>
    <t>C:\Users\Public\Documents\PerkinElmer Syngistix\ICPMS\DataSet\Mike G\January 2025\QCB.043</t>
  </si>
  <si>
    <t>1/30/2025 1:20:26 PM</t>
  </si>
  <si>
    <t>Mn 55</t>
  </si>
  <si>
    <t>1/30/2025 12:06:19 PM</t>
  </si>
  <si>
    <t>Ca-43 43
Helium KED
(cps)</t>
  </si>
  <si>
    <t>C:\Users\Public\Documents\PerkinElmer Syngistix\ICPMS\Method\Rachael\HBEF_Big_Cat_Regular_MG240807.mth</t>
  </si>
  <si>
    <t>C:\Users\Public\Documents\PerkinElmer Syngistix\ICPMS\DataSet\Mike G\January 2025\Blank.030</t>
  </si>
  <si>
    <t>C:\Users\Public\Documents\PerkinElmer Syngistix\ICPMS\DataSet\Mike G\January 2025\MWR SE.051</t>
  </si>
  <si>
    <t>CB Blank</t>
  </si>
  <si>
    <t>MWR N-S</t>
  </si>
  <si>
    <t>Ca-44std 44</t>
  </si>
  <si>
    <t>1/30/2025 12:37:10 PM</t>
  </si>
  <si>
    <t>Fe 57
(cps)</t>
  </si>
  <si>
    <t>Zn 68
(cps)</t>
  </si>
  <si>
    <t>Ca-43 43
Helium KED
(ug/L)</t>
  </si>
  <si>
    <t>Pb 208
(cps)</t>
  </si>
  <si>
    <t>C:\Users\Public\Documents\PerkinElmer Syngistix\ICPMS\DataSet\Mike G\January 2025\Blank.032</t>
  </si>
  <si>
    <t>Sr 88</t>
  </si>
  <si>
    <t>Si 28
(cps)</t>
  </si>
  <si>
    <t>Al 27
(cps)</t>
  </si>
  <si>
    <t>C:\Users\Public\Documents\PerkinElmer Syngistix\ICPMS\DataSet\Mike G\January 2025\MWR NE.050</t>
  </si>
  <si>
    <t/>
  </si>
  <si>
    <t>C:\Users\Public\Documents\PerkinElmer Syngistix\ICPMS\DataSet\Mike G\January 2025\Std3-50ppb.036</t>
  </si>
  <si>
    <t>Method File</t>
  </si>
  <si>
    <t>Na 23
(cps)</t>
  </si>
  <si>
    <t>C:\Users\Public\Documents\PerkinElmer Syngistix\ICPMS\DataSet\Mike G\January 2025\Cal Curve 1.040</t>
  </si>
  <si>
    <t>C:\Users\Public\Documents\PerkinElmer Syngistix\ICPMS\DataSet\Mike G\January 2025\MWR N-S.052</t>
  </si>
  <si>
    <t>Sample Id</t>
  </si>
  <si>
    <t>Se 82</t>
  </si>
  <si>
    <t>1/30/2025 1:08:05 PM</t>
  </si>
  <si>
    <t>Fe 57
(ug/L)</t>
  </si>
  <si>
    <t>1/30/2025 1:14:15 PM</t>
  </si>
  <si>
    <t>1/30/2025 1:01:54 PM</t>
  </si>
  <si>
    <t>Pb 208</t>
  </si>
  <si>
    <t>CCB1</t>
  </si>
  <si>
    <t>Pb 208
(ug/L)</t>
  </si>
  <si>
    <t>Cu 63
(cps)</t>
  </si>
  <si>
    <t>Mg 24
(ug/L)</t>
  </si>
  <si>
    <t>C:\Users\Public\Documents\PerkinElmer Syngistix\ICPMS\DataSet\Mike G\January 2025\Std2-20ppb.035</t>
  </si>
  <si>
    <t>1/30/2025 12:18:38 PM</t>
  </si>
  <si>
    <t>Mn 55
(ug/L)</t>
  </si>
  <si>
    <t>C:\Users\Public\Documents\PerkinElmer Syngistix\ICPMS\DataSet\Mike G\January 2025\Std6-2000ppb.039</t>
  </si>
  <si>
    <t>MWR SE</t>
  </si>
  <si>
    <t>Cu 63</t>
  </si>
  <si>
    <t>Pb 207</t>
  </si>
  <si>
    <t>Ca-43std 43
(cps)</t>
  </si>
  <si>
    <t>1/30/2025 12:43:20 PM</t>
  </si>
  <si>
    <t>1/30/2025 11:10:48 AM</t>
  </si>
  <si>
    <t>C:\Users\Public\Documents\PerkinElmer Syngistix\ICPMS\DataSet\Mike G\January 2025\CB Blank.049</t>
  </si>
  <si>
    <t>Ca-43std 43</t>
  </si>
  <si>
    <t>Zn 68</t>
  </si>
  <si>
    <t>1/30/2025 11:47:50 AM</t>
  </si>
  <si>
    <t>Zn 68
(ug/L)</t>
  </si>
  <si>
    <t>Ca 43
(ug/L)</t>
  </si>
  <si>
    <t>Ca 44
(ug/L)</t>
  </si>
  <si>
    <t>Se 78
(mg/L)</t>
  </si>
  <si>
    <t>Se 82
(mg/L)</t>
  </si>
  <si>
    <t>ppb</t>
  </si>
  <si>
    <t>Std5-2000ppb</t>
  </si>
  <si>
    <t>QCS</t>
  </si>
  <si>
    <t>Ca Chk 500 ppb</t>
  </si>
  <si>
    <r>
      <rPr>
        <b/>
        <sz val="8"/>
        <rFont val="Tahoma"/>
        <family val="2"/>
      </rPr>
      <t>^</t>
    </r>
    <r>
      <rPr>
        <sz val="8"/>
        <rFont val="Tahoma"/>
        <family val="2"/>
      </rPr>
      <t>ICV based on SiO2</t>
    </r>
  </si>
  <si>
    <t>MDL</t>
  </si>
  <si>
    <t>CCV1 200 ppb</t>
  </si>
  <si>
    <t>Average</t>
  </si>
  <si>
    <t>LCB1</t>
  </si>
  <si>
    <t>Na 23
(umol/L)</t>
  </si>
  <si>
    <t>Mg 24
(umol/L)</t>
  </si>
  <si>
    <t>Al 27
(umol/L)</t>
  </si>
  <si>
    <t>Si 28
(umol/L)</t>
  </si>
  <si>
    <t>P 31
(umol/L)</t>
  </si>
  <si>
    <t>K 39
(umol/L)</t>
  </si>
  <si>
    <t>Ca 43 Helium KED
(umol/L)</t>
  </si>
  <si>
    <t>Ca 43
(umol/L)</t>
  </si>
  <si>
    <t>Ca 44 Helium KED
(umol/L)</t>
  </si>
  <si>
    <t>Ca 44
(umol/L)</t>
  </si>
  <si>
    <t>Mn 55
(umol/L)</t>
  </si>
  <si>
    <t>Fe 57
(umol/L)</t>
  </si>
  <si>
    <t>Co 59
(umol/L)</t>
  </si>
  <si>
    <t>Ni 60
(umol/L)</t>
  </si>
  <si>
    <t>Cu 63
(umol/L)</t>
  </si>
  <si>
    <t>Zn 68
(umol/L)</t>
  </si>
  <si>
    <t>Sr 88
(umol/L)</t>
  </si>
  <si>
    <t>Mo 96
(umol/L)</t>
  </si>
  <si>
    <t>Cd 113
(umol/L)</t>
  </si>
  <si>
    <t>Pb 206
(umol/L)</t>
  </si>
  <si>
    <t>Pb 207
(umol/L)</t>
  </si>
  <si>
    <t>Pb 208
(umol/L)</t>
  </si>
  <si>
    <t>Na 23
(g/mol)</t>
  </si>
  <si>
    <t>Mg 24
(g/mol)</t>
  </si>
  <si>
    <t>Al 27
(g/mol)</t>
  </si>
  <si>
    <t>Si 28
(g/mol)</t>
  </si>
  <si>
    <t>P 31
(g/mol)</t>
  </si>
  <si>
    <t>K 39
(g/mol)</t>
  </si>
  <si>
    <t>Ca 42
(g/mol)</t>
  </si>
  <si>
    <t>Ca 43
(g/mol)</t>
  </si>
  <si>
    <t>Ca 44
(g/mol)</t>
  </si>
  <si>
    <t>Mn 55
(g/mol)</t>
  </si>
  <si>
    <t>Fe 57
(g/mol)</t>
  </si>
  <si>
    <t>Co 59
(g/mol)</t>
  </si>
  <si>
    <t>Ni 60
(g/mol)</t>
  </si>
  <si>
    <t>Cu 63
(g/mol)</t>
  </si>
  <si>
    <t>Zn 68
(g/mol)</t>
  </si>
  <si>
    <t>Se 82
(g/mol)</t>
  </si>
  <si>
    <t>Sr 88
(g/mol)</t>
  </si>
  <si>
    <t>Mo 96
(g/mol)</t>
  </si>
  <si>
    <t>Cd 113
(g/mol)</t>
  </si>
  <si>
    <t>Pb 206
(g/mol)</t>
  </si>
  <si>
    <t>Pb 207
(g/mol)</t>
  </si>
  <si>
    <t>Pb 208
(g/mol)</t>
  </si>
  <si>
    <t>Blk Avg</t>
  </si>
  <si>
    <t>Max Conc</t>
  </si>
  <si>
    <r>
      <t xml:space="preserve">Clear all highlighting, then highlight cells to exactly match the highlighting of the conditional formatting       </t>
    </r>
    <r>
      <rPr>
        <sz val="28"/>
        <color theme="1"/>
        <rFont val="Arial"/>
        <family val="2"/>
      </rPr>
      <t>→</t>
    </r>
  </si>
  <si>
    <r>
      <t xml:space="preserve">Post Cation Concentration (umol/L) Data from 'Raw Results' here </t>
    </r>
    <r>
      <rPr>
        <b/>
        <sz val="14"/>
        <color rgb="FF000000"/>
        <rFont val="Arial"/>
        <family val="2"/>
      </rPr>
      <t>↓</t>
    </r>
    <r>
      <rPr>
        <b/>
        <sz val="12"/>
        <color rgb="FF000000"/>
        <rFont val="Arial"/>
        <family val="2"/>
      </rPr>
      <t xml:space="preserve"> and Clear Conditional Formatting</t>
    </r>
  </si>
  <si>
    <t>Si 28 
(umol/L)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</si>
</sst>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9" x14ac:knownFonts="1">
    <font>
      <sz val="10"/>
      <color rgb="FF000000"/>
      <name val="Arial"/>
      <family val="2"/>
    </font>
    <font>
      <b/>
      <sz val="8"/>
      <color indexed="9"/>
      <name val="Tahoma"/>
      <family val="2"/>
    </font>
    <font>
      <sz val="8"/>
      <color indexed="64"/>
      <name val="Tahoma"/>
      <family val="2"/>
    </font>
    <font>
      <sz val="8"/>
      <color rgb="FF000000"/>
      <name val="Tahoma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10"/>
      <name val="Arial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Arial"/>
      <family val="2"/>
    </font>
    <font>
      <sz val="28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000000"/>
      <name val="Tahoma"/>
      <family val="2"/>
    </font>
    <font>
      <b/>
      <sz val="8"/>
      <color rgb="FFFF0000"/>
      <name val="Tahoma"/>
      <family val="2"/>
    </font>
    <font>
      <sz val="8"/>
      <color rgb="FFFF0000"/>
      <name val="Tahoma"/>
      <family val="2"/>
    </font>
    <font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rgb="FFEBFFD0"/>
        <bgColor indexed="12"/>
      </patternFill>
    </fill>
    <fill>
      <patternFill patternType="solid">
        <fgColor indexed="11"/>
        <bgColor indexed="12"/>
      </patternFill>
    </fill>
    <fill>
      <patternFill patternType="solid">
        <fgColor indexed="8"/>
      </patternFill>
    </fill>
    <fill>
      <patternFill patternType="solid">
        <fgColor rgb="FFFFFFFF"/>
      </patternFill>
    </fill>
    <fill>
      <patternFill patternType="solid">
        <fgColor indexed="11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1"/>
        <bgColor indexed="1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1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right" vertical="top"/>
    </xf>
    <xf numFmtId="166" fontId="2" fillId="0" borderId="2" xfId="0" applyNumberFormat="1" applyFont="1" applyBorder="1" applyAlignment="1">
      <alignment horizontal="left" vertical="center"/>
    </xf>
    <xf numFmtId="166" fontId="2" fillId="4" borderId="2" xfId="0" applyNumberFormat="1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top"/>
    </xf>
    <xf numFmtId="0" fontId="4" fillId="7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2" fontId="6" fillId="4" borderId="2" xfId="0" applyNumberFormat="1" applyFont="1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left" vertical="center"/>
    </xf>
    <xf numFmtId="166" fontId="2" fillId="4" borderId="0" xfId="0" applyNumberFormat="1" applyFont="1" applyFill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166" fontId="2" fillId="8" borderId="0" xfId="0" applyNumberFormat="1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166" fontId="0" fillId="9" borderId="0" xfId="0" applyNumberFormat="1" applyFill="1"/>
    <xf numFmtId="1" fontId="8" fillId="0" borderId="0" xfId="0" applyNumberFormat="1" applyFont="1"/>
    <xf numFmtId="1" fontId="0" fillId="0" borderId="0" xfId="0" applyNumberFormat="1"/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3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left" vertical="center"/>
    </xf>
    <xf numFmtId="0" fontId="10" fillId="8" borderId="15" xfId="0" applyFont="1" applyFill="1" applyBorder="1" applyAlignment="1">
      <alignment horizontal="left" vertical="center"/>
    </xf>
    <xf numFmtId="0" fontId="11" fillId="0" borderId="0" xfId="0" applyFont="1"/>
    <xf numFmtId="0" fontId="10" fillId="14" borderId="14" xfId="0" applyFont="1" applyFill="1" applyBorder="1" applyAlignment="1">
      <alignment horizontal="left" vertical="center"/>
    </xf>
    <xf numFmtId="1" fontId="10" fillId="14" borderId="14" xfId="0" applyNumberFormat="1" applyFont="1" applyFill="1" applyBorder="1" applyAlignment="1">
      <alignment horizontal="left" vertical="center"/>
    </xf>
    <xf numFmtId="1" fontId="10" fillId="14" borderId="16" xfId="0" applyNumberFormat="1" applyFont="1" applyFill="1" applyBorder="1" applyAlignment="1">
      <alignment horizontal="left" vertical="center"/>
    </xf>
    <xf numFmtId="166" fontId="5" fillId="0" borderId="0" xfId="0" applyNumberFormat="1" applyFont="1"/>
    <xf numFmtId="0" fontId="10" fillId="14" borderId="15" xfId="0" applyFont="1" applyFill="1" applyBorder="1" applyAlignment="1">
      <alignment horizontal="left" vertical="center"/>
    </xf>
    <xf numFmtId="166" fontId="10" fillId="14" borderId="14" xfId="0" applyNumberFormat="1" applyFont="1" applyFill="1" applyBorder="1" applyAlignment="1">
      <alignment horizontal="left" vertical="center"/>
    </xf>
    <xf numFmtId="166" fontId="10" fillId="0" borderId="1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166" fontId="10" fillId="0" borderId="8" xfId="0" applyNumberFormat="1" applyFont="1" applyBorder="1" applyAlignment="1">
      <alignment horizontal="left" vertical="center"/>
    </xf>
    <xf numFmtId="0" fontId="5" fillId="0" borderId="6" xfId="0" applyFont="1" applyBorder="1"/>
    <xf numFmtId="0" fontId="10" fillId="0" borderId="21" xfId="0" applyFont="1" applyBorder="1" applyAlignment="1">
      <alignment horizontal="left" vertical="center"/>
    </xf>
    <xf numFmtId="166" fontId="10" fillId="0" borderId="21" xfId="0" applyNumberFormat="1" applyFont="1" applyBorder="1" applyAlignment="1">
      <alignment horizontal="left" vertical="center"/>
    </xf>
    <xf numFmtId="166" fontId="10" fillId="0" borderId="22" xfId="0" applyNumberFormat="1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166" fontId="10" fillId="0" borderId="0" xfId="0" applyNumberFormat="1" applyFont="1" applyAlignment="1">
      <alignment horizontal="center" vertical="center" wrapText="1"/>
    </xf>
    <xf numFmtId="166" fontId="10" fillId="0" borderId="6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6" fontId="5" fillId="0" borderId="6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66" fontId="2" fillId="8" borderId="6" xfId="0" applyNumberFormat="1" applyFont="1" applyFill="1" applyBorder="1" applyAlignment="1">
      <alignment horizontal="left" vertical="center"/>
    </xf>
    <xf numFmtId="0" fontId="3" fillId="0" borderId="0" xfId="0" applyFont="1"/>
    <xf numFmtId="166" fontId="10" fillId="0" borderId="2" xfId="0" applyNumberFormat="1" applyFont="1" applyBorder="1" applyAlignment="1">
      <alignment horizontal="left" vertical="center"/>
    </xf>
    <xf numFmtId="166" fontId="6" fillId="0" borderId="0" xfId="0" applyNumberFormat="1" applyFont="1" applyAlignment="1">
      <alignment horizontal="left" vertical="center" wrapText="1"/>
    </xf>
    <xf numFmtId="166" fontId="10" fillId="8" borderId="2" xfId="0" applyNumberFormat="1" applyFont="1" applyFill="1" applyBorder="1" applyAlignment="1">
      <alignment horizontal="left" vertical="center"/>
    </xf>
    <xf numFmtId="166" fontId="10" fillId="14" borderId="2" xfId="0" applyNumberFormat="1" applyFont="1" applyFill="1" applyBorder="1" applyAlignment="1">
      <alignment horizontal="left" vertical="center"/>
    </xf>
    <xf numFmtId="166" fontId="10" fillId="0" borderId="0" xfId="0" applyNumberFormat="1" applyFont="1" applyAlignment="1">
      <alignment horizontal="left" vertical="center" wrapText="1"/>
    </xf>
    <xf numFmtId="166" fontId="17" fillId="0" borderId="0" xfId="0" applyNumberFormat="1" applyFont="1" applyAlignment="1">
      <alignment horizontal="left" vertical="center" wrapText="1"/>
    </xf>
    <xf numFmtId="166" fontId="10" fillId="8" borderId="22" xfId="0" applyNumberFormat="1" applyFont="1" applyFill="1" applyBorder="1" applyAlignment="1">
      <alignment horizontal="left" vertical="center"/>
    </xf>
    <xf numFmtId="166" fontId="10" fillId="0" borderId="23" xfId="0" applyNumberFormat="1" applyFont="1" applyBorder="1" applyAlignment="1">
      <alignment horizontal="left" vertical="center"/>
    </xf>
    <xf numFmtId="166" fontId="10" fillId="8" borderId="23" xfId="0" applyNumberFormat="1" applyFont="1" applyFill="1" applyBorder="1" applyAlignment="1">
      <alignment horizontal="left" vertical="center"/>
    </xf>
    <xf numFmtId="166" fontId="8" fillId="0" borderId="0" xfId="0" applyNumberFormat="1" applyFont="1"/>
    <xf numFmtId="166" fontId="8" fillId="15" borderId="0" xfId="0" applyNumberFormat="1" applyFont="1" applyFill="1"/>
    <xf numFmtId="166" fontId="2" fillId="8" borderId="2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2" fontId="6" fillId="4" borderId="5" xfId="0" applyNumberFormat="1" applyFont="1" applyFill="1" applyBorder="1" applyAlignment="1">
      <alignment horizontal="center" vertical="center"/>
    </xf>
    <xf numFmtId="2" fontId="6" fillId="4" borderId="8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166" fontId="2" fillId="0" borderId="2" xfId="0" applyNumberFormat="1" applyFont="1" applyFill="1" applyBorder="1" applyAlignment="1">
      <alignment horizontal="left" vertical="center"/>
    </xf>
    <xf numFmtId="2" fontId="0" fillId="0" borderId="0" xfId="0" applyNumberFormat="1"/>
    <xf numFmtId="2" fontId="0" fillId="8" borderId="0" xfId="0" applyNumberFormat="1" applyFill="1"/>
    <xf numFmtId="2" fontId="18" fillId="0" borderId="0" xfId="0" applyNumberFormat="1" applyFont="1"/>
  </cellXfs>
  <cellStyles count="1">
    <cellStyle name="Normal" xfId="0" builtinId="0"/>
  </cellStyles>
  <dxfs count="13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000000"/>
      <rgbColor rgb="00A9A9A9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Na, Mg,</a:t>
            </a:r>
            <a:r>
              <a:rPr lang="en-US" baseline="0">
                <a:solidFill>
                  <a:sysClr val="windowText" lastClr="000000"/>
                </a:solidFill>
              </a:rPr>
              <a:t> Al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008900203264063"/>
          <c:y val="3.778675483498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819134450298992E-2"/>
          <c:y val="0.14379922904289635"/>
          <c:w val="0.86539241805300648"/>
          <c:h val="0.5753066897366416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Calibration!$B$1</c:f>
              <c:strCache>
                <c:ptCount val="1"/>
                <c:pt idx="0">
                  <c:v>Na 23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alpha val="9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254652378978943"/>
                  <c:y val="-0.165355077273158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Calibration!$B$2:$B$7</c:f>
              <c:numCache>
                <c:formatCode>0.000</c:formatCode>
                <c:ptCount val="6"/>
                <c:pt idx="0">
                  <c:v>5</c:v>
                </c:pt>
                <c:pt idx="1">
                  <c:v>19.634917246413</c:v>
                </c:pt>
                <c:pt idx="2">
                  <c:v>50.448110241883199</c:v>
                </c:pt>
                <c:pt idx="3">
                  <c:v>199.82397797878099</c:v>
                </c:pt>
                <c:pt idx="4">
                  <c:v>497.61187587292801</c:v>
                </c:pt>
                <c:pt idx="5">
                  <c:v>1995.81061516507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AA-4CF7-817D-2CB14F4892BF}"/>
            </c:ext>
          </c:extLst>
        </c:ser>
        <c:ser>
          <c:idx val="1"/>
          <c:order val="1"/>
          <c:tx>
            <c:strRef>
              <c:f>Calibration!$C$1</c:f>
              <c:strCache>
                <c:ptCount val="1"/>
                <c:pt idx="0">
                  <c:v>Mg 24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4226313816036151E-4"/>
                  <c:y val="-0.163324517965973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Calibration!$C$2:$C$7</c:f>
              <c:numCache>
                <c:formatCode>0.000</c:formatCode>
                <c:ptCount val="6"/>
                <c:pt idx="0">
                  <c:v>5</c:v>
                </c:pt>
                <c:pt idx="1">
                  <c:v>19.984276744212998</c:v>
                </c:pt>
                <c:pt idx="2">
                  <c:v>49.943348465740002</c:v>
                </c:pt>
                <c:pt idx="3">
                  <c:v>200.45777478476001</c:v>
                </c:pt>
                <c:pt idx="4">
                  <c:v>502.10598167656201</c:v>
                </c:pt>
                <c:pt idx="5">
                  <c:v>1998.2615789926799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AA-4CF7-817D-2CB14F4892BF}"/>
            </c:ext>
          </c:extLst>
        </c:ser>
        <c:ser>
          <c:idx val="2"/>
          <c:order val="2"/>
          <c:tx>
            <c:strRef>
              <c:f>Calibration!$D$1</c:f>
              <c:strCache>
                <c:ptCount val="1"/>
                <c:pt idx="0">
                  <c:v>Al 27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9572356087068"/>
                  <c:y val="-0.163386858586646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Calibration!$D$2:$D$7</c:f>
              <c:numCache>
                <c:formatCode>0.000</c:formatCode>
                <c:ptCount val="6"/>
                <c:pt idx="0">
                  <c:v>5</c:v>
                </c:pt>
                <c:pt idx="1">
                  <c:v>19.809755298991401</c:v>
                </c:pt>
                <c:pt idx="2">
                  <c:v>49.9139731277089</c:v>
                </c:pt>
                <c:pt idx="3">
                  <c:v>199.107912706066</c:v>
                </c:pt>
                <c:pt idx="4">
                  <c:v>501.62199864170299</c:v>
                </c:pt>
                <c:pt idx="5">
                  <c:v>1997.72117773215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AA-4CF7-817D-2CB14F48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49199"/>
        <c:axId val="897460015"/>
      </c:scatterChart>
      <c:valAx>
        <c:axId val="89744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60015"/>
        <c:crosses val="autoZero"/>
        <c:crossBetween val="midCat"/>
      </c:valAx>
      <c:valAx>
        <c:axId val="897460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49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847492747617073E-2"/>
          <c:y val="0.8067432401241007"/>
          <c:w val="0.88720197883134089"/>
          <c:h val="0.17932169266505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Si, P, K</a:t>
            </a:r>
          </a:p>
        </c:rich>
      </c:tx>
      <c:layout>
        <c:manualLayout>
          <c:xMode val="edge"/>
          <c:yMode val="edge"/>
          <c:x val="0.20722969832068197"/>
          <c:y val="5.2179586706591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78391579729858E-2"/>
          <c:y val="0.16649572649572653"/>
          <c:w val="0.86266638526106976"/>
          <c:h val="0.54071548748714104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Calibration!$E$1</c:f>
              <c:strCache>
                <c:ptCount val="1"/>
                <c:pt idx="0">
                  <c:v>Si 28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829102315226722"/>
                  <c:y val="-0.215645352023304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Calibration!$AA$2:$AA$7</c:f>
              <c:numCache>
                <c:formatCode>General</c:formatCode>
                <c:ptCount val="6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1000</c:v>
                </c:pt>
                <c:pt idx="4">
                  <c:v>2500</c:v>
                </c:pt>
                <c:pt idx="5">
                  <c:v>10000</c:v>
                </c:pt>
              </c:numCache>
            </c:numRef>
          </c:xVal>
          <c:yVal>
            <c:numRef>
              <c:f>Calibration!$E$2:$E$7</c:f>
              <c:numCache>
                <c:formatCode>0.000</c:formatCode>
                <c:ptCount val="6"/>
                <c:pt idx="0">
                  <c:v>25</c:v>
                </c:pt>
                <c:pt idx="1">
                  <c:v>102.882150885055</c:v>
                </c:pt>
                <c:pt idx="2">
                  <c:v>255.85936436694001</c:v>
                </c:pt>
                <c:pt idx="3">
                  <c:v>1004.18520705893</c:v>
                </c:pt>
                <c:pt idx="4">
                  <c:v>2508.8908749993002</c:v>
                </c:pt>
                <c:pt idx="5">
                  <c:v>9939.0791067089904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2C-48FC-A6CD-FFA6D2027D1E}"/>
            </c:ext>
          </c:extLst>
        </c:ser>
        <c:ser>
          <c:idx val="1"/>
          <c:order val="1"/>
          <c:tx>
            <c:strRef>
              <c:f>Calibration!$F$1</c:f>
              <c:strCache>
                <c:ptCount val="1"/>
                <c:pt idx="0">
                  <c:v>P 31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881188508614561"/>
                  <c:y val="-0.122539682539682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Calibration!$AA$2:$AA$7</c:f>
              <c:numCache>
                <c:formatCode>General</c:formatCode>
                <c:ptCount val="6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1000</c:v>
                </c:pt>
                <c:pt idx="4">
                  <c:v>2500</c:v>
                </c:pt>
                <c:pt idx="5">
                  <c:v>10000</c:v>
                </c:pt>
              </c:numCache>
            </c:numRef>
          </c:xVal>
          <c:yVal>
            <c:numRef>
              <c:f>Calibration!$F$2:$F$7</c:f>
              <c:numCache>
                <c:formatCode>0.000</c:formatCode>
                <c:ptCount val="6"/>
                <c:pt idx="0">
                  <c:v>25</c:v>
                </c:pt>
                <c:pt idx="1">
                  <c:v>99.982652213641302</c:v>
                </c:pt>
                <c:pt idx="2">
                  <c:v>249.47320555002401</c:v>
                </c:pt>
                <c:pt idx="3">
                  <c:v>1006.65762347945</c:v>
                </c:pt>
                <c:pt idx="4">
                  <c:v>2491.3999074830099</c:v>
                </c:pt>
                <c:pt idx="5">
                  <c:v>9964.7495651508107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2C-48FC-A6CD-FFA6D2027D1E}"/>
            </c:ext>
          </c:extLst>
        </c:ser>
        <c:ser>
          <c:idx val="2"/>
          <c:order val="2"/>
          <c:tx>
            <c:strRef>
              <c:f>Calibration!$G$1</c:f>
              <c:strCache>
                <c:ptCount val="1"/>
                <c:pt idx="0">
                  <c:v>K 39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3811910717702031E-2"/>
                  <c:y val="-0.16680837972176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Calibration!$AA$2:$AA$7</c:f>
              <c:numCache>
                <c:formatCode>General</c:formatCode>
                <c:ptCount val="6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1000</c:v>
                </c:pt>
                <c:pt idx="4">
                  <c:v>2500</c:v>
                </c:pt>
                <c:pt idx="5">
                  <c:v>10000</c:v>
                </c:pt>
              </c:numCache>
            </c:numRef>
          </c:xVal>
          <c:yVal>
            <c:numRef>
              <c:f>Calibration!$G$2:$G$7</c:f>
              <c:numCache>
                <c:formatCode>0.000</c:formatCode>
                <c:ptCount val="6"/>
                <c:pt idx="0">
                  <c:v>25</c:v>
                </c:pt>
                <c:pt idx="1">
                  <c:v>99.771730222324607</c:v>
                </c:pt>
                <c:pt idx="2">
                  <c:v>249.65437976614601</c:v>
                </c:pt>
                <c:pt idx="3">
                  <c:v>1000.5031297146</c:v>
                </c:pt>
                <c:pt idx="4">
                  <c:v>2498.3860854163299</c:v>
                </c:pt>
                <c:pt idx="5">
                  <c:v>9982.7670254297209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2C-48FC-A6CD-FFA6D2027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000095"/>
        <c:axId val="815003007"/>
      </c:scatterChart>
      <c:valAx>
        <c:axId val="8150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003007"/>
        <c:crosses val="autoZero"/>
        <c:crossBetween val="midCat"/>
      </c:valAx>
      <c:valAx>
        <c:axId val="81500300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00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162559273454934E-2"/>
          <c:y val="0.78458423466297478"/>
          <c:w val="0.77185064553587479"/>
          <c:h val="0.20246645225684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Ca, Mn,</a:t>
            </a:r>
            <a:r>
              <a:rPr lang="en-US" baseline="0">
                <a:solidFill>
                  <a:sysClr val="windowText" lastClr="000000"/>
                </a:solidFill>
              </a:rPr>
              <a:t> and Fe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3.3558144413234903E-2"/>
          <c:y val="1.8106575867795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35288790655548E-2"/>
          <c:y val="0.15321426285128995"/>
          <c:w val="0.83713465641356233"/>
          <c:h val="0.5539676464744695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Calibration!$H$1</c:f>
              <c:strCache>
                <c:ptCount val="1"/>
                <c:pt idx="0">
                  <c:v>Ca-43 43
Helium KED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393284045601169"/>
                  <c:y val="-0.21764312993264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Calibration!$H$2:$H$7</c:f>
              <c:numCache>
                <c:formatCode>0.000</c:formatCode>
                <c:ptCount val="6"/>
                <c:pt idx="0">
                  <c:v>5</c:v>
                </c:pt>
                <c:pt idx="1">
                  <c:v>20.1454120997664</c:v>
                </c:pt>
                <c:pt idx="2">
                  <c:v>49.949505847602602</c:v>
                </c:pt>
                <c:pt idx="3">
                  <c:v>199.63534159909801</c:v>
                </c:pt>
                <c:pt idx="4">
                  <c:v>499.22937831531698</c:v>
                </c:pt>
                <c:pt idx="5">
                  <c:v>1998.1816504363901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88-4C31-B92D-B33C4893CE27}"/>
            </c:ext>
          </c:extLst>
        </c:ser>
        <c:ser>
          <c:idx val="1"/>
          <c:order val="1"/>
          <c:tx>
            <c:strRef>
              <c:f>Calibration!$I$1</c:f>
              <c:strCache>
                <c:ptCount val="1"/>
                <c:pt idx="0">
                  <c:v>Ca 43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286413816593536"/>
                  <c:y val="-0.207314631470488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Calibration!$I$2:$I$7</c:f>
              <c:numCache>
                <c:formatCode>0.000</c:formatCode>
                <c:ptCount val="6"/>
                <c:pt idx="0">
                  <c:v>5</c:v>
                </c:pt>
                <c:pt idx="1">
                  <c:v>20.0577225541535</c:v>
                </c:pt>
                <c:pt idx="2">
                  <c:v>49.884276757279999</c:v>
                </c:pt>
                <c:pt idx="3">
                  <c:v>199.901525830682</c:v>
                </c:pt>
                <c:pt idx="4">
                  <c:v>497.99989973899898</c:v>
                </c:pt>
                <c:pt idx="5">
                  <c:v>1996.5407046248299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88-4C31-B92D-B33C4893CE27}"/>
            </c:ext>
          </c:extLst>
        </c:ser>
        <c:ser>
          <c:idx val="2"/>
          <c:order val="2"/>
          <c:tx>
            <c:strRef>
              <c:f>Calibration!$K$1</c:f>
              <c:strCache>
                <c:ptCount val="1"/>
                <c:pt idx="0">
                  <c:v>Ca 44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58169541784377"/>
                  <c:y val="-0.210302264584316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Calibration!$K$2:$K$7</c:f>
              <c:numCache>
                <c:formatCode>0.000</c:formatCode>
                <c:ptCount val="6"/>
                <c:pt idx="0">
                  <c:v>5</c:v>
                </c:pt>
                <c:pt idx="1">
                  <c:v>19.9641529759432</c:v>
                </c:pt>
                <c:pt idx="2">
                  <c:v>49.704067332344202</c:v>
                </c:pt>
                <c:pt idx="3">
                  <c:v>200.31456202702901</c:v>
                </c:pt>
                <c:pt idx="4">
                  <c:v>496.26099830742203</c:v>
                </c:pt>
                <c:pt idx="5">
                  <c:v>2015.9492306086299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88-4C31-B92D-B33C4893CE27}"/>
            </c:ext>
          </c:extLst>
        </c:ser>
        <c:ser>
          <c:idx val="3"/>
          <c:order val="3"/>
          <c:tx>
            <c:strRef>
              <c:f>Calibration!$L$1</c:f>
              <c:strCache>
                <c:ptCount val="1"/>
                <c:pt idx="0">
                  <c:v>Mn 55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647736971809821"/>
                  <c:y val="-0.184659034028573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Calibration!$L$2:$L$7</c:f>
              <c:numCache>
                <c:formatCode>0.000</c:formatCode>
                <c:ptCount val="6"/>
                <c:pt idx="0">
                  <c:v>5</c:v>
                </c:pt>
                <c:pt idx="1">
                  <c:v>19.9938499285422</c:v>
                </c:pt>
                <c:pt idx="2">
                  <c:v>50.3785949121798</c:v>
                </c:pt>
                <c:pt idx="3">
                  <c:v>198.95922926784499</c:v>
                </c:pt>
                <c:pt idx="4">
                  <c:v>505.17229017659901</c:v>
                </c:pt>
                <c:pt idx="5">
                  <c:v>2000.0068014158501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88-4C31-B92D-B33C4893CE27}"/>
            </c:ext>
          </c:extLst>
        </c:ser>
        <c:ser>
          <c:idx val="4"/>
          <c:order val="4"/>
          <c:tx>
            <c:strRef>
              <c:f>Calibration!$M$1</c:f>
              <c:strCache>
                <c:ptCount val="1"/>
                <c:pt idx="0">
                  <c:v>Fe 57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930179719901425"/>
                  <c:y val="-0.200326203639578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Calibration!$M$2:$M$7</c:f>
              <c:numCache>
                <c:formatCode>0.000</c:formatCode>
                <c:ptCount val="6"/>
                <c:pt idx="0">
                  <c:v>5</c:v>
                </c:pt>
                <c:pt idx="1">
                  <c:v>19.1532067501794</c:v>
                </c:pt>
                <c:pt idx="2">
                  <c:v>48.640598074491599</c:v>
                </c:pt>
                <c:pt idx="3">
                  <c:v>199.199269454508</c:v>
                </c:pt>
                <c:pt idx="4">
                  <c:v>504.71108969636498</c:v>
                </c:pt>
                <c:pt idx="5">
                  <c:v>2001.6278151234201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88-4C31-B92D-B33C4893CE27}"/>
            </c:ext>
          </c:extLst>
        </c:ser>
        <c:ser>
          <c:idx val="5"/>
          <c:order val="5"/>
          <c:tx>
            <c:strRef>
              <c:f>Calibration!$J$1</c:f>
              <c:strCache>
                <c:ptCount val="1"/>
                <c:pt idx="0">
                  <c:v>Ca-44 44
Helium KED
(ug/L)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584123740257658"/>
                  <c:y val="-0.178710720415142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Calibration!$J$2:$J$7</c:f>
              <c:numCache>
                <c:formatCode>0.000</c:formatCode>
                <c:ptCount val="6"/>
                <c:pt idx="0">
                  <c:v>5</c:v>
                </c:pt>
                <c:pt idx="1">
                  <c:v>19.943851595267901</c:v>
                </c:pt>
                <c:pt idx="2">
                  <c:v>49.749060118529002</c:v>
                </c:pt>
                <c:pt idx="3">
                  <c:v>199.84756486744399</c:v>
                </c:pt>
                <c:pt idx="4">
                  <c:v>498.01578947340499</c:v>
                </c:pt>
                <c:pt idx="5">
                  <c:v>1998.79057754212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88-4C31-B92D-B33C4893C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97151"/>
        <c:axId val="891298399"/>
      </c:scatterChart>
      <c:valAx>
        <c:axId val="89129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8399"/>
        <c:crosses val="autoZero"/>
        <c:crossBetween val="midCat"/>
      </c:valAx>
      <c:valAx>
        <c:axId val="891298399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7151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48920200764379E-2"/>
          <c:y val="0.78517270707015285"/>
          <c:w val="0.98715115863435354"/>
          <c:h val="0.20651250721784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Co, Ni,</a:t>
            </a:r>
            <a:r>
              <a:rPr lang="en-US" baseline="0">
                <a:solidFill>
                  <a:sysClr val="windowText" lastClr="000000"/>
                </a:solidFill>
              </a:rPr>
              <a:t> Cu, Zn</a:t>
            </a:r>
          </a:p>
        </c:rich>
      </c:tx>
      <c:layout>
        <c:manualLayout>
          <c:xMode val="edge"/>
          <c:yMode val="edge"/>
          <c:x val="4.3778923028095579E-2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68267666157838E-2"/>
          <c:y val="0.13881051175656986"/>
          <c:w val="0.87243691467549278"/>
          <c:h val="0.5301946145620686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Calibration!$N$1</c:f>
              <c:strCache>
                <c:ptCount val="1"/>
                <c:pt idx="0">
                  <c:v>Co 59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367000670021811"/>
                  <c:y val="-0.1338722659667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Calibration!$N$2:$N$7</c:f>
              <c:numCache>
                <c:formatCode>0.000</c:formatCode>
                <c:ptCount val="6"/>
                <c:pt idx="0">
                  <c:v>5</c:v>
                </c:pt>
                <c:pt idx="1">
                  <c:v>19.9874247921679</c:v>
                </c:pt>
                <c:pt idx="2">
                  <c:v>49.997619565507001</c:v>
                </c:pt>
                <c:pt idx="3">
                  <c:v>201.12695718044901</c:v>
                </c:pt>
                <c:pt idx="4">
                  <c:v>500.69126471965501</c:v>
                </c:pt>
                <c:pt idx="5">
                  <c:v>1996.1824635978801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D-475A-BEA6-3DBC3586B3AB}"/>
            </c:ext>
          </c:extLst>
        </c:ser>
        <c:ser>
          <c:idx val="1"/>
          <c:order val="1"/>
          <c:tx>
            <c:strRef>
              <c:f>Calibration!$O$1</c:f>
              <c:strCache>
                <c:ptCount val="1"/>
                <c:pt idx="0">
                  <c:v>Ni 60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547422934897048"/>
                  <c:y val="-0.1338722659667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Calibration!$O$2:$O$7</c:f>
              <c:numCache>
                <c:formatCode>0.000</c:formatCode>
                <c:ptCount val="6"/>
                <c:pt idx="0">
                  <c:v>5</c:v>
                </c:pt>
                <c:pt idx="1">
                  <c:v>20.064784572419001</c:v>
                </c:pt>
                <c:pt idx="2">
                  <c:v>49.978710834538099</c:v>
                </c:pt>
                <c:pt idx="3">
                  <c:v>200.93797124691</c:v>
                </c:pt>
                <c:pt idx="4">
                  <c:v>500.64246605299797</c:v>
                </c:pt>
                <c:pt idx="5">
                  <c:v>1998.9655903477301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BD-475A-BEA6-3DBC3586B3AB}"/>
            </c:ext>
          </c:extLst>
        </c:ser>
        <c:ser>
          <c:idx val="2"/>
          <c:order val="2"/>
          <c:tx>
            <c:strRef>
              <c:f>Calibration!$P$1</c:f>
              <c:strCache>
                <c:ptCount val="1"/>
                <c:pt idx="0">
                  <c:v>Cu 63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239681412184321"/>
                  <c:y val="-0.1338722659667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Calibration!$P$2:$P$7</c:f>
              <c:numCache>
                <c:formatCode>0.000</c:formatCode>
                <c:ptCount val="6"/>
                <c:pt idx="0">
                  <c:v>5</c:v>
                </c:pt>
                <c:pt idx="1">
                  <c:v>19.9895552869041</c:v>
                </c:pt>
                <c:pt idx="2">
                  <c:v>49.855333242957101</c:v>
                </c:pt>
                <c:pt idx="3">
                  <c:v>201.26035512539599</c:v>
                </c:pt>
                <c:pt idx="4">
                  <c:v>501.00033611451198</c:v>
                </c:pt>
                <c:pt idx="5">
                  <c:v>1994.9266378239399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BD-475A-BEA6-3DBC3586B3AB}"/>
            </c:ext>
          </c:extLst>
        </c:ser>
        <c:ser>
          <c:idx val="3"/>
          <c:order val="3"/>
          <c:tx>
            <c:strRef>
              <c:f>Calibration!$Q$1</c:f>
              <c:strCache>
                <c:ptCount val="1"/>
                <c:pt idx="0">
                  <c:v>Zn 68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3003057919103682E-2"/>
                  <c:y val="-0.138810537571692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Calibration!$Q$2:$Q$7</c:f>
              <c:numCache>
                <c:formatCode>0.000</c:formatCode>
                <c:ptCount val="6"/>
                <c:pt idx="0">
                  <c:v>5</c:v>
                </c:pt>
                <c:pt idx="1">
                  <c:v>19.9115349064576</c:v>
                </c:pt>
                <c:pt idx="2">
                  <c:v>48.622429116635502</c:v>
                </c:pt>
                <c:pt idx="3">
                  <c:v>199.17345458032901</c:v>
                </c:pt>
                <c:pt idx="4">
                  <c:v>500.48945073384402</c:v>
                </c:pt>
                <c:pt idx="5">
                  <c:v>1999.1409524067601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BD-475A-BEA6-3DBC3586B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71487"/>
        <c:axId val="888071903"/>
      </c:scatterChart>
      <c:valAx>
        <c:axId val="88807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71903"/>
        <c:crosses val="autoZero"/>
        <c:crossBetween val="midCat"/>
      </c:valAx>
      <c:valAx>
        <c:axId val="888071903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7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626097601523411E-2"/>
          <c:y val="0.77609215514727325"/>
          <c:w val="0.82615745008841268"/>
          <c:h val="0.22041178186060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Se, Sr, Mo, Cd</a:t>
            </a:r>
          </a:p>
        </c:rich>
      </c:tx>
      <c:layout>
        <c:manualLayout>
          <c:xMode val="edge"/>
          <c:yMode val="edge"/>
          <c:x val="2.0930887480530444E-2"/>
          <c:y val="1.9900489716578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48685981768417E-2"/>
          <c:y val="0.15312977099236644"/>
          <c:w val="0.85793989590920883"/>
          <c:h val="0.45463685359940692"/>
        </c:manualLayout>
      </c:layout>
      <c:scatterChart>
        <c:scatterStyle val="lineMarker"/>
        <c:varyColors val="0"/>
        <c:ser>
          <c:idx val="3"/>
          <c:order val="0"/>
          <c:tx>
            <c:strRef>
              <c:f>Calibration!$R$1</c:f>
              <c:strCache>
                <c:ptCount val="1"/>
                <c:pt idx="0">
                  <c:v>Se 78
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237529999190661"/>
                  <c:y val="-0.22553699794420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Calibration!$R$2:$R$7</c:f>
              <c:numCache>
                <c:formatCode>0.000</c:formatCode>
                <c:ptCount val="6"/>
                <c:pt idx="0">
                  <c:v>5</c:v>
                </c:pt>
                <c:pt idx="1">
                  <c:v>19.688810743022099</c:v>
                </c:pt>
                <c:pt idx="2">
                  <c:v>49.094749487497701</c:v>
                </c:pt>
                <c:pt idx="3">
                  <c:v>198.80984243852399</c:v>
                </c:pt>
                <c:pt idx="4">
                  <c:v>504.76160764363499</c:v>
                </c:pt>
                <c:pt idx="5">
                  <c:v>2009.14716641524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F4-4644-AD6E-ACE3FC2D5C5C}"/>
            </c:ext>
          </c:extLst>
        </c:ser>
        <c:ser>
          <c:idx val="4"/>
          <c:order val="1"/>
          <c:tx>
            <c:strRef>
              <c:f>Calibration!$S$1</c:f>
              <c:strCache>
                <c:ptCount val="1"/>
                <c:pt idx="0">
                  <c:v>Se 82
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27078471110764"/>
                  <c:y val="-0.211917872297901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Calibration!$S$2:$S$7</c:f>
              <c:numCache>
                <c:formatCode>0.000</c:formatCode>
                <c:ptCount val="6"/>
                <c:pt idx="0">
                  <c:v>5</c:v>
                </c:pt>
                <c:pt idx="1">
                  <c:v>20.017811153003102</c:v>
                </c:pt>
                <c:pt idx="2">
                  <c:v>49.936119826530501</c:v>
                </c:pt>
                <c:pt idx="3">
                  <c:v>200.488432147867</c:v>
                </c:pt>
                <c:pt idx="4">
                  <c:v>498.90581533685503</c:v>
                </c:pt>
                <c:pt idx="5">
                  <c:v>1992.1655006511701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F4-4644-AD6E-ACE3FC2D5C5C}"/>
            </c:ext>
          </c:extLst>
        </c:ser>
        <c:ser>
          <c:idx val="0"/>
          <c:order val="2"/>
          <c:tx>
            <c:strRef>
              <c:f>Calibration!$T$1</c:f>
              <c:strCache>
                <c:ptCount val="1"/>
                <c:pt idx="0">
                  <c:v>Sr 88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278835973592454"/>
                  <c:y val="-0.167768185955794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Calibration!$T$2:$T$7</c:f>
              <c:numCache>
                <c:formatCode>0.000</c:formatCode>
                <c:ptCount val="6"/>
                <c:pt idx="0">
                  <c:v>5</c:v>
                </c:pt>
                <c:pt idx="1">
                  <c:v>19.978145238500499</c:v>
                </c:pt>
                <c:pt idx="2">
                  <c:v>50.5887052406962</c:v>
                </c:pt>
                <c:pt idx="3">
                  <c:v>200.54878369527299</c:v>
                </c:pt>
                <c:pt idx="4">
                  <c:v>501.19550558908003</c:v>
                </c:pt>
                <c:pt idx="5">
                  <c:v>1994.91855071534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F4-4644-AD6E-ACE3FC2D5C5C}"/>
            </c:ext>
          </c:extLst>
        </c:ser>
        <c:ser>
          <c:idx val="1"/>
          <c:order val="3"/>
          <c:tx>
            <c:strRef>
              <c:f>Calibration!$U$1</c:f>
              <c:strCache>
                <c:ptCount val="1"/>
                <c:pt idx="0">
                  <c:v>Mo 96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5593550401117874E-3"/>
                  <c:y val="-0.143253370952320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Calibration!$U$2:$U$7</c:f>
              <c:numCache>
                <c:formatCode>0.000</c:formatCode>
                <c:ptCount val="6"/>
                <c:pt idx="0">
                  <c:v>5</c:v>
                </c:pt>
                <c:pt idx="1">
                  <c:v>20.0350862458424</c:v>
                </c:pt>
                <c:pt idx="2">
                  <c:v>50.073371426541101</c:v>
                </c:pt>
                <c:pt idx="3">
                  <c:v>199.515636039783</c:v>
                </c:pt>
                <c:pt idx="4">
                  <c:v>516.191854224439</c:v>
                </c:pt>
                <c:pt idx="5">
                  <c:v>2000.65278781806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F4-4644-AD6E-ACE3FC2D5C5C}"/>
            </c:ext>
          </c:extLst>
        </c:ser>
        <c:ser>
          <c:idx val="2"/>
          <c:order val="4"/>
          <c:tx>
            <c:strRef>
              <c:f>Calibration!$V$1</c:f>
              <c:strCache>
                <c:ptCount val="1"/>
                <c:pt idx="0">
                  <c:v>Cd 113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5439990882548"/>
                  <c:y val="-0.13337683158283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Calibration!$V$2:$V$7</c:f>
              <c:numCache>
                <c:formatCode>0.000</c:formatCode>
                <c:ptCount val="6"/>
                <c:pt idx="0">
                  <c:v>5</c:v>
                </c:pt>
                <c:pt idx="1">
                  <c:v>19.983937446040201</c:v>
                </c:pt>
                <c:pt idx="2">
                  <c:v>49.996808666570097</c:v>
                </c:pt>
                <c:pt idx="3">
                  <c:v>200.36055506032099</c:v>
                </c:pt>
                <c:pt idx="4">
                  <c:v>503.08668958458901</c:v>
                </c:pt>
                <c:pt idx="5">
                  <c:v>1994.5937518324699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F4-4644-AD6E-ACE3FC2D5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792463"/>
        <c:axId val="949793711"/>
      </c:scatterChart>
      <c:valAx>
        <c:axId val="94979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93711"/>
        <c:crosses val="autoZero"/>
        <c:crossBetween val="midCat"/>
      </c:valAx>
      <c:valAx>
        <c:axId val="949793711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92463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126580403209194E-3"/>
          <c:y val="0.68664462743683752"/>
          <c:w val="0.99418742453747977"/>
          <c:h val="0.31335553987717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Pb</a:t>
            </a:r>
          </a:p>
        </c:rich>
      </c:tx>
      <c:layout>
        <c:manualLayout>
          <c:xMode val="edge"/>
          <c:yMode val="edge"/>
          <c:x val="3.9649460406355426E-2"/>
          <c:y val="2.973977695167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Calibration!$W$1</c:f>
              <c:strCache>
                <c:ptCount val="1"/>
                <c:pt idx="0">
                  <c:v>Pb 206
(ug/L)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944335493452581"/>
                  <c:y val="-0.159058240396530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Calibration!$W$2:$W$7</c:f>
              <c:numCache>
                <c:formatCode>0.000</c:formatCode>
                <c:ptCount val="6"/>
                <c:pt idx="0">
                  <c:v>5</c:v>
                </c:pt>
                <c:pt idx="1">
                  <c:v>19.990895609296601</c:v>
                </c:pt>
                <c:pt idx="2">
                  <c:v>50.008394223034401</c:v>
                </c:pt>
                <c:pt idx="3">
                  <c:v>200.237307785979</c:v>
                </c:pt>
                <c:pt idx="4">
                  <c:v>498.975336472609</c:v>
                </c:pt>
                <c:pt idx="5">
                  <c:v>1991.1060536751199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4-4179-AE88-4D4C26A06AE0}"/>
            </c:ext>
          </c:extLst>
        </c:ser>
        <c:ser>
          <c:idx val="0"/>
          <c:order val="1"/>
          <c:tx>
            <c:strRef>
              <c:f>Calibration!$X$1</c:f>
              <c:strCache>
                <c:ptCount val="1"/>
                <c:pt idx="0">
                  <c:v>Pb 207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058261065840564"/>
                  <c:y val="-0.15410161090458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Calibration!$X$2:$X$7</c:f>
              <c:numCache>
                <c:formatCode>0.000</c:formatCode>
                <c:ptCount val="6"/>
                <c:pt idx="0">
                  <c:v>5</c:v>
                </c:pt>
                <c:pt idx="1">
                  <c:v>19.997836956487699</c:v>
                </c:pt>
                <c:pt idx="2">
                  <c:v>49.983349863874601</c:v>
                </c:pt>
                <c:pt idx="3">
                  <c:v>199.66899544334601</c:v>
                </c:pt>
                <c:pt idx="4">
                  <c:v>501.59351058860398</c:v>
                </c:pt>
                <c:pt idx="5">
                  <c:v>1990.3680697086299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14-4179-AE88-4D4C26A06AE0}"/>
            </c:ext>
          </c:extLst>
        </c:ser>
        <c:ser>
          <c:idx val="2"/>
          <c:order val="2"/>
          <c:tx>
            <c:strRef>
              <c:f>Calibration!$Y$1</c:f>
              <c:strCache>
                <c:ptCount val="1"/>
                <c:pt idx="0">
                  <c:v>Pb 208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82183268835074"/>
                  <c:y val="-0.15410161090458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Calibration!$Y$2:$Y$7</c:f>
              <c:numCache>
                <c:formatCode>0.000</c:formatCode>
                <c:ptCount val="6"/>
                <c:pt idx="0">
                  <c:v>5</c:v>
                </c:pt>
                <c:pt idx="1">
                  <c:v>20.015597237481298</c:v>
                </c:pt>
                <c:pt idx="2">
                  <c:v>50.146385425436101</c:v>
                </c:pt>
                <c:pt idx="3">
                  <c:v>199.433664514962</c:v>
                </c:pt>
                <c:pt idx="4">
                  <c:v>501.33953134639199</c:v>
                </c:pt>
                <c:pt idx="5">
                  <c:v>1990.56257991349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14-4179-AE88-4D4C26A06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48367"/>
        <c:axId val="897456271"/>
      </c:scatterChart>
      <c:valAx>
        <c:axId val="89744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56271"/>
        <c:crosses val="autoZero"/>
        <c:crossBetween val="midCat"/>
      </c:valAx>
      <c:valAx>
        <c:axId val="897456271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4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98731243437043"/>
          <c:y val="0.75154719043019247"/>
          <c:w val="0.74420108572980082"/>
          <c:h val="0.21375640312618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9523</xdr:rowOff>
    </xdr:from>
    <xdr:to>
      <xdr:col>7</xdr:col>
      <xdr:colOff>600074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7D58E-125A-4127-B3A2-3D5108F9E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609599</xdr:colOff>
      <xdr:row>7</xdr:row>
      <xdr:rowOff>9525</xdr:rowOff>
    </xdr:from>
    <xdr:to>
      <xdr:col>17</xdr:col>
      <xdr:colOff>0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8193C-70AA-4292-AF27-B1AC3F30C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590549</xdr:colOff>
      <xdr:row>7</xdr:row>
      <xdr:rowOff>9524</xdr:rowOff>
    </xdr:from>
    <xdr:to>
      <xdr:col>28</xdr:col>
      <xdr:colOff>85724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5CFB9-41B7-4AC6-992C-BB1492E4C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9525</xdr:rowOff>
    </xdr:from>
    <xdr:to>
      <xdr:col>7</xdr:col>
      <xdr:colOff>600075</xdr:colOff>
      <xdr:row>38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7E29D4-151D-4E32-85DD-110B23351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4761</xdr:colOff>
      <xdr:row>23</xdr:row>
      <xdr:rowOff>9524</xdr:rowOff>
    </xdr:from>
    <xdr:to>
      <xdr:col>16</xdr:col>
      <xdr:colOff>581025</xdr:colOff>
      <xdr:row>38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2FA154-26EF-44E1-B9DB-BB8CC7DB6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595312</xdr:colOff>
      <xdr:row>22</xdr:row>
      <xdr:rowOff>152400</xdr:rowOff>
    </xdr:from>
    <xdr:to>
      <xdr:col>28</xdr:col>
      <xdr:colOff>95250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3FAA9A-C728-499E-93A3-C70687676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E28"/>
  <sheetViews>
    <sheetView zoomScale="80" zoomScaleNormal="80" workbookViewId="0">
      <selection activeCell="H22" sqref="H22:AE25"/>
    </sheetView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hidden="1" customWidth="1"/>
    <col min="4" max="4" width="21.42578125" hidden="1" customWidth="1"/>
    <col min="5" max="7" width="10.7109375" hidden="1" customWidth="1"/>
    <col min="8" max="31" width="10.7109375" customWidth="1"/>
  </cols>
  <sheetData>
    <row r="1" spans="1:31" ht="38.25" customHeight="1" x14ac:dyDescent="0.2">
      <c r="A1" s="1" t="s">
        <v>67</v>
      </c>
      <c r="B1" s="1" t="s">
        <v>131</v>
      </c>
      <c r="C1" s="1" t="s">
        <v>99</v>
      </c>
      <c r="D1" s="1" t="s">
        <v>42</v>
      </c>
      <c r="E1" s="1" t="s">
        <v>55</v>
      </c>
      <c r="F1" s="1" t="s">
        <v>77</v>
      </c>
      <c r="G1" s="1" t="s">
        <v>127</v>
      </c>
      <c r="H1" s="1" t="s">
        <v>40</v>
      </c>
      <c r="I1" s="1" t="s">
        <v>141</v>
      </c>
      <c r="J1" s="1" t="s">
        <v>2</v>
      </c>
      <c r="K1" s="1" t="s">
        <v>36</v>
      </c>
      <c r="L1" s="1" t="s">
        <v>9</v>
      </c>
      <c r="M1" s="1" t="s">
        <v>47</v>
      </c>
      <c r="N1" s="2" t="s">
        <v>118</v>
      </c>
      <c r="O1" s="1" t="s">
        <v>79</v>
      </c>
      <c r="P1" s="2" t="s">
        <v>18</v>
      </c>
      <c r="Q1" s="1" t="s">
        <v>80</v>
      </c>
      <c r="R1" s="1" t="s">
        <v>144</v>
      </c>
      <c r="S1" s="1" t="s">
        <v>134</v>
      </c>
      <c r="T1" s="1" t="s">
        <v>69</v>
      </c>
      <c r="U1" s="1" t="s">
        <v>12</v>
      </c>
      <c r="V1" s="1" t="s">
        <v>87</v>
      </c>
      <c r="W1" s="1" t="s">
        <v>156</v>
      </c>
      <c r="X1" s="1" t="s">
        <v>19</v>
      </c>
      <c r="Y1" s="1" t="s">
        <v>13</v>
      </c>
      <c r="Z1" s="1" t="s">
        <v>82</v>
      </c>
      <c r="AA1" s="1" t="s">
        <v>39</v>
      </c>
      <c r="AB1" s="1" t="s">
        <v>58</v>
      </c>
      <c r="AC1" s="1" t="s">
        <v>81</v>
      </c>
      <c r="AD1" s="1" t="s">
        <v>28</v>
      </c>
      <c r="AE1" s="1" t="s">
        <v>139</v>
      </c>
    </row>
    <row r="2" spans="1:31" x14ac:dyDescent="0.2">
      <c r="A2" s="3">
        <v>1</v>
      </c>
      <c r="B2" s="4" t="s">
        <v>14</v>
      </c>
      <c r="C2" s="5" t="s">
        <v>125</v>
      </c>
      <c r="D2" s="4" t="s">
        <v>100</v>
      </c>
      <c r="E2" s="4" t="s">
        <v>125</v>
      </c>
      <c r="F2" s="4" t="s">
        <v>110</v>
      </c>
      <c r="G2" s="4" t="s">
        <v>109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">
      <c r="A3" s="3">
        <v>2</v>
      </c>
      <c r="B3" s="7" t="s">
        <v>14</v>
      </c>
      <c r="C3" s="8" t="s">
        <v>125</v>
      </c>
      <c r="D3" s="7" t="s">
        <v>96</v>
      </c>
      <c r="E3" s="7" t="s">
        <v>125</v>
      </c>
      <c r="F3" s="7" t="s">
        <v>27</v>
      </c>
      <c r="G3" s="7" t="s">
        <v>109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">
      <c r="A4" s="3">
        <v>3</v>
      </c>
      <c r="B4" s="4" t="s">
        <v>14</v>
      </c>
      <c r="C4" s="5" t="s">
        <v>125</v>
      </c>
      <c r="D4" s="4" t="s">
        <v>103</v>
      </c>
      <c r="E4" s="4" t="s">
        <v>125</v>
      </c>
      <c r="F4" s="4" t="s">
        <v>120</v>
      </c>
      <c r="G4" s="4" t="s">
        <v>109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">
      <c r="A5" s="3">
        <v>4</v>
      </c>
      <c r="B5" s="7" t="s">
        <v>14</v>
      </c>
      <c r="C5" s="8" t="s">
        <v>125</v>
      </c>
      <c r="D5" s="7" t="s">
        <v>151</v>
      </c>
      <c r="E5" s="7" t="s">
        <v>125</v>
      </c>
      <c r="F5" s="7" t="s">
        <v>76</v>
      </c>
      <c r="G5" s="7" t="s">
        <v>109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">
      <c r="A6" s="3">
        <v>5</v>
      </c>
      <c r="B6" s="4" t="s">
        <v>37</v>
      </c>
      <c r="C6" s="5" t="s">
        <v>125</v>
      </c>
      <c r="D6" s="4" t="s">
        <v>5</v>
      </c>
      <c r="E6" s="4" t="s">
        <v>125</v>
      </c>
      <c r="F6" s="4" t="s">
        <v>16</v>
      </c>
      <c r="G6" s="4" t="s">
        <v>109</v>
      </c>
      <c r="H6" s="21">
        <v>5</v>
      </c>
      <c r="I6" s="21">
        <v>5</v>
      </c>
      <c r="J6" s="21">
        <v>5</v>
      </c>
      <c r="K6" s="21">
        <v>25</v>
      </c>
      <c r="L6" s="21">
        <v>25</v>
      </c>
      <c r="M6" s="21">
        <v>25</v>
      </c>
      <c r="N6" s="21">
        <v>5</v>
      </c>
      <c r="O6" s="21">
        <v>5</v>
      </c>
      <c r="P6" s="21">
        <v>5</v>
      </c>
      <c r="Q6" s="21">
        <v>5</v>
      </c>
      <c r="R6" s="21">
        <v>5</v>
      </c>
      <c r="S6" s="21">
        <v>5</v>
      </c>
      <c r="T6" s="21">
        <v>5</v>
      </c>
      <c r="U6" s="21">
        <v>5</v>
      </c>
      <c r="V6" s="21">
        <v>5</v>
      </c>
      <c r="W6" s="21">
        <v>5</v>
      </c>
      <c r="X6" s="21">
        <v>5</v>
      </c>
      <c r="Y6" s="21">
        <v>5</v>
      </c>
      <c r="Z6" s="21">
        <v>5</v>
      </c>
      <c r="AA6" s="21">
        <v>5</v>
      </c>
      <c r="AB6" s="21">
        <v>5</v>
      </c>
      <c r="AC6" s="21">
        <v>5</v>
      </c>
      <c r="AD6" s="21">
        <v>5</v>
      </c>
      <c r="AE6" s="21">
        <v>5</v>
      </c>
    </row>
    <row r="7" spans="1:31" x14ac:dyDescent="0.2">
      <c r="A7" s="3">
        <v>6</v>
      </c>
      <c r="B7" s="7" t="s">
        <v>50</v>
      </c>
      <c r="C7" s="8" t="s">
        <v>125</v>
      </c>
      <c r="D7" s="7" t="s">
        <v>34</v>
      </c>
      <c r="E7" s="7" t="s">
        <v>125</v>
      </c>
      <c r="F7" s="7" t="s">
        <v>142</v>
      </c>
      <c r="G7" s="7" t="s">
        <v>109</v>
      </c>
      <c r="H7" s="22">
        <v>19.634917246413</v>
      </c>
      <c r="I7" s="22">
        <v>19.984276744212998</v>
      </c>
      <c r="J7" s="22">
        <v>19.809755298991401</v>
      </c>
      <c r="K7" s="22">
        <v>102.882150885055</v>
      </c>
      <c r="L7" s="22">
        <v>99.982652213641302</v>
      </c>
      <c r="M7" s="22">
        <v>99.771730222324607</v>
      </c>
      <c r="N7" s="22">
        <v>20.1454120997664</v>
      </c>
      <c r="O7" s="22">
        <v>20.0577225541535</v>
      </c>
      <c r="P7" s="22">
        <v>19.943851595267901</v>
      </c>
      <c r="Q7" s="22">
        <v>19.9641529759432</v>
      </c>
      <c r="R7" s="22">
        <v>19.9938499285422</v>
      </c>
      <c r="S7" s="22">
        <v>19.1532067501794</v>
      </c>
      <c r="T7" s="22">
        <v>19.9874247921679</v>
      </c>
      <c r="U7" s="22">
        <v>20.064784572419001</v>
      </c>
      <c r="V7" s="22">
        <v>19.9895552869041</v>
      </c>
      <c r="W7" s="22">
        <v>19.9115349064576</v>
      </c>
      <c r="X7" s="22">
        <v>19.688810743022099</v>
      </c>
      <c r="Y7" s="22">
        <v>20.017811153003102</v>
      </c>
      <c r="Z7" s="22">
        <v>19.978145238500499</v>
      </c>
      <c r="AA7" s="22">
        <v>20.0350862458424</v>
      </c>
      <c r="AB7" s="22">
        <v>19.983937446040201</v>
      </c>
      <c r="AC7" s="22">
        <v>19.990895609296601</v>
      </c>
      <c r="AD7" s="22">
        <v>19.997836956487699</v>
      </c>
      <c r="AE7" s="22">
        <v>20.015597237481298</v>
      </c>
    </row>
    <row r="8" spans="1:31" x14ac:dyDescent="0.2">
      <c r="A8" s="3">
        <v>7</v>
      </c>
      <c r="B8" s="4" t="s">
        <v>41</v>
      </c>
      <c r="C8" s="5" t="s">
        <v>125</v>
      </c>
      <c r="D8" s="4" t="s">
        <v>60</v>
      </c>
      <c r="E8" s="4" t="s">
        <v>125</v>
      </c>
      <c r="F8" s="4" t="s">
        <v>126</v>
      </c>
      <c r="G8" s="4" t="s">
        <v>109</v>
      </c>
      <c r="H8" s="21">
        <v>50.448110241883199</v>
      </c>
      <c r="I8" s="21">
        <v>49.943348465740002</v>
      </c>
      <c r="J8" s="21">
        <v>49.9139731277089</v>
      </c>
      <c r="K8" s="21">
        <v>255.85936436694001</v>
      </c>
      <c r="L8" s="21">
        <v>249.47320555002401</v>
      </c>
      <c r="M8" s="21">
        <v>249.65437976614601</v>
      </c>
      <c r="N8" s="21">
        <v>49.949505847602602</v>
      </c>
      <c r="O8" s="21">
        <v>49.884276757279999</v>
      </c>
      <c r="P8" s="21">
        <v>49.749060118529002</v>
      </c>
      <c r="Q8" s="21">
        <v>49.704067332344202</v>
      </c>
      <c r="R8" s="21">
        <v>50.3785949121798</v>
      </c>
      <c r="S8" s="21">
        <v>48.640598074491599</v>
      </c>
      <c r="T8" s="21">
        <v>49.997619565507001</v>
      </c>
      <c r="U8" s="21">
        <v>49.978710834538099</v>
      </c>
      <c r="V8" s="21">
        <v>49.855333242957101</v>
      </c>
      <c r="W8" s="21">
        <v>48.622429116635502</v>
      </c>
      <c r="X8" s="21">
        <v>49.094749487497701</v>
      </c>
      <c r="Y8" s="21">
        <v>49.936119826530501</v>
      </c>
      <c r="Z8" s="21">
        <v>50.5887052406962</v>
      </c>
      <c r="AA8" s="21">
        <v>50.073371426541101</v>
      </c>
      <c r="AB8" s="21">
        <v>49.996808666570097</v>
      </c>
      <c r="AC8" s="21">
        <v>50.008394223034401</v>
      </c>
      <c r="AD8" s="21">
        <v>49.983349863874601</v>
      </c>
      <c r="AE8" s="21">
        <v>50.146385425436101</v>
      </c>
    </row>
    <row r="9" spans="1:31" x14ac:dyDescent="0.2">
      <c r="A9" s="3">
        <v>8</v>
      </c>
      <c r="B9" s="7" t="s">
        <v>98</v>
      </c>
      <c r="C9" s="8" t="s">
        <v>125</v>
      </c>
      <c r="D9" s="7" t="s">
        <v>86</v>
      </c>
      <c r="E9" s="7" t="s">
        <v>125</v>
      </c>
      <c r="F9" s="7" t="s">
        <v>94</v>
      </c>
      <c r="G9" s="7" t="s">
        <v>109</v>
      </c>
      <c r="H9" s="22">
        <v>199.82397797878099</v>
      </c>
      <c r="I9" s="22">
        <v>200.45777478476001</v>
      </c>
      <c r="J9" s="22">
        <v>199.107912706066</v>
      </c>
      <c r="K9" s="22">
        <v>1004.18520705893</v>
      </c>
      <c r="L9" s="22">
        <v>1006.65762347945</v>
      </c>
      <c r="M9" s="22">
        <v>1000.5031297146</v>
      </c>
      <c r="N9" s="22">
        <v>199.63534159909801</v>
      </c>
      <c r="O9" s="22">
        <v>199.901525830682</v>
      </c>
      <c r="P9" s="22">
        <v>199.84756486744399</v>
      </c>
      <c r="Q9" s="22">
        <v>200.31456202702901</v>
      </c>
      <c r="R9" s="22">
        <v>198.95922926784499</v>
      </c>
      <c r="S9" s="22">
        <v>199.199269454508</v>
      </c>
      <c r="T9" s="22">
        <v>201.12695718044901</v>
      </c>
      <c r="U9" s="22">
        <v>200.93797124691</v>
      </c>
      <c r="V9" s="22">
        <v>201.26035512539599</v>
      </c>
      <c r="W9" s="22">
        <v>199.17345458032901</v>
      </c>
      <c r="X9" s="22">
        <v>198.80984243852399</v>
      </c>
      <c r="Y9" s="22">
        <v>200.488432147867</v>
      </c>
      <c r="Z9" s="22">
        <v>200.54878369527299</v>
      </c>
      <c r="AA9" s="22">
        <v>199.515636039783</v>
      </c>
      <c r="AB9" s="22">
        <v>200.36055506032099</v>
      </c>
      <c r="AC9" s="22">
        <v>200.237307785979</v>
      </c>
      <c r="AD9" s="22">
        <v>199.66899544334601</v>
      </c>
      <c r="AE9" s="22">
        <v>199.433664514962</v>
      </c>
    </row>
    <row r="10" spans="1:31" x14ac:dyDescent="0.2">
      <c r="A10" s="3">
        <v>9</v>
      </c>
      <c r="B10" s="4" t="s">
        <v>3</v>
      </c>
      <c r="C10" s="5" t="s">
        <v>125</v>
      </c>
      <c r="D10" s="4" t="s">
        <v>35</v>
      </c>
      <c r="E10" s="4" t="s">
        <v>125</v>
      </c>
      <c r="F10" s="4" t="s">
        <v>71</v>
      </c>
      <c r="G10" s="4" t="s">
        <v>109</v>
      </c>
      <c r="H10" s="21">
        <v>497.61187587292801</v>
      </c>
      <c r="I10" s="21">
        <v>502.10598167656201</v>
      </c>
      <c r="J10" s="21">
        <v>501.62199864170299</v>
      </c>
      <c r="K10" s="21">
        <v>2508.8908749993002</v>
      </c>
      <c r="L10" s="21">
        <v>2491.3999074830099</v>
      </c>
      <c r="M10" s="21">
        <v>2498.3860854163299</v>
      </c>
      <c r="N10" s="21">
        <v>499.22937831531698</v>
      </c>
      <c r="O10" s="21">
        <v>497.99989973899898</v>
      </c>
      <c r="P10" s="21">
        <v>498.01578947340499</v>
      </c>
      <c r="Q10" s="21">
        <v>496.26099830742203</v>
      </c>
      <c r="R10" s="21">
        <v>505.17229017659901</v>
      </c>
      <c r="S10" s="21">
        <v>504.71108969636498</v>
      </c>
      <c r="T10" s="21">
        <v>500.69126471965501</v>
      </c>
      <c r="U10" s="21">
        <v>500.64246605299797</v>
      </c>
      <c r="V10" s="21">
        <v>501.00033611451198</v>
      </c>
      <c r="W10" s="21">
        <v>500.48945073384402</v>
      </c>
      <c r="X10" s="21">
        <v>504.76160764363499</v>
      </c>
      <c r="Y10" s="21">
        <v>498.90581533685503</v>
      </c>
      <c r="Z10" s="21">
        <v>501.19550558908003</v>
      </c>
      <c r="AA10" s="21">
        <v>516.191854224439</v>
      </c>
      <c r="AB10" s="21">
        <v>503.08668958458901</v>
      </c>
      <c r="AC10" s="21">
        <v>498.975336472609</v>
      </c>
      <c r="AD10" s="21">
        <v>501.59351058860398</v>
      </c>
      <c r="AE10" s="21">
        <v>501.33953134639199</v>
      </c>
    </row>
    <row r="11" spans="1:31" x14ac:dyDescent="0.2">
      <c r="A11" s="3">
        <v>10</v>
      </c>
      <c r="B11" s="7" t="s">
        <v>84</v>
      </c>
      <c r="C11" s="8" t="s">
        <v>125</v>
      </c>
      <c r="D11" s="7" t="s">
        <v>155</v>
      </c>
      <c r="E11" s="7" t="s">
        <v>125</v>
      </c>
      <c r="F11" s="7" t="s">
        <v>145</v>
      </c>
      <c r="G11" s="7" t="s">
        <v>109</v>
      </c>
      <c r="H11" s="22">
        <v>1995.81061516507</v>
      </c>
      <c r="I11" s="22">
        <v>1998.2615789926799</v>
      </c>
      <c r="J11" s="22">
        <v>1997.72117773215</v>
      </c>
      <c r="K11" s="22">
        <v>9939.0791067089904</v>
      </c>
      <c r="L11" s="22">
        <v>9964.7495651508107</v>
      </c>
      <c r="M11" s="22">
        <v>9982.7670254297209</v>
      </c>
      <c r="N11" s="22">
        <v>1998.1816504363901</v>
      </c>
      <c r="O11" s="22">
        <v>1996.5407046248299</v>
      </c>
      <c r="P11" s="22">
        <v>1998.79057754212</v>
      </c>
      <c r="Q11" s="22">
        <v>2015.9492306086299</v>
      </c>
      <c r="R11" s="22">
        <v>2000.0068014158501</v>
      </c>
      <c r="S11" s="22">
        <v>2001.6278151234201</v>
      </c>
      <c r="T11" s="22">
        <v>1996.1824635978801</v>
      </c>
      <c r="U11" s="22">
        <v>1998.9655903477301</v>
      </c>
      <c r="V11" s="22">
        <v>1994.9266378239399</v>
      </c>
      <c r="W11" s="22">
        <v>1999.1409524067601</v>
      </c>
      <c r="X11" s="22">
        <v>2009.14716641524</v>
      </c>
      <c r="Y11" s="22">
        <v>1992.1655006511701</v>
      </c>
      <c r="Z11" s="22">
        <v>1994.91855071534</v>
      </c>
      <c r="AA11" s="22">
        <v>2000.65278781806</v>
      </c>
      <c r="AB11" s="22">
        <v>1994.5937518324699</v>
      </c>
      <c r="AC11" s="22">
        <v>1991.1060536751199</v>
      </c>
      <c r="AD11" s="22">
        <v>1990.3680697086299</v>
      </c>
      <c r="AE11" s="22">
        <v>1990.56257991349</v>
      </c>
    </row>
    <row r="12" spans="1:31" x14ac:dyDescent="0.2">
      <c r="A12" s="3">
        <v>11</v>
      </c>
      <c r="B12" s="10" t="s">
        <v>83</v>
      </c>
      <c r="C12" s="3" t="s">
        <v>125</v>
      </c>
      <c r="D12" s="10" t="s">
        <v>155</v>
      </c>
      <c r="E12" s="10" t="s">
        <v>125</v>
      </c>
      <c r="F12" s="10" t="s">
        <v>125</v>
      </c>
      <c r="G12" s="10" t="s">
        <v>125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52</v>
      </c>
      <c r="C13" s="8" t="s">
        <v>125</v>
      </c>
      <c r="D13" s="7" t="s">
        <v>53</v>
      </c>
      <c r="E13" s="7" t="s">
        <v>125</v>
      </c>
      <c r="F13" s="7" t="s">
        <v>129</v>
      </c>
      <c r="G13" s="7" t="s">
        <v>109</v>
      </c>
      <c r="H13" s="22">
        <v>7.3397254364466598</v>
      </c>
      <c r="I13" s="22">
        <v>7.2182118848617698</v>
      </c>
      <c r="J13" s="22">
        <v>6.8385530864245299</v>
      </c>
      <c r="K13" s="22">
        <v>32.664034760177103</v>
      </c>
      <c r="L13" s="22">
        <v>41.571812107330203</v>
      </c>
      <c r="M13" s="22">
        <v>39.418125432722</v>
      </c>
      <c r="N13" s="22">
        <v>13.9781281814161</v>
      </c>
      <c r="O13" s="22">
        <v>8.2121781983502196</v>
      </c>
      <c r="P13" s="22">
        <v>14.146412465203699</v>
      </c>
      <c r="Q13" s="22">
        <v>6.3676875291774504</v>
      </c>
      <c r="R13" s="22">
        <v>7.9663456564913702</v>
      </c>
      <c r="S13" s="22">
        <v>-1.5477567902718401</v>
      </c>
      <c r="T13" s="22">
        <v>7.2559736828060499</v>
      </c>
      <c r="U13" s="22">
        <v>8.6610867019928008</v>
      </c>
      <c r="V13" s="22">
        <v>8.9506065653140006</v>
      </c>
      <c r="W13" s="22">
        <v>8.5592804238683904</v>
      </c>
      <c r="X13" s="22">
        <v>8.7239932786735004</v>
      </c>
      <c r="Y13" s="22">
        <v>8.1569150659663698</v>
      </c>
      <c r="Z13" s="22">
        <v>7.82598826186792</v>
      </c>
      <c r="AA13" s="22">
        <v>10.984669313100801</v>
      </c>
      <c r="AB13" s="22">
        <v>7.6088729013180698</v>
      </c>
      <c r="AC13" s="22">
        <v>8.6008269547788103</v>
      </c>
      <c r="AD13" s="22">
        <v>8.1747196613750592</v>
      </c>
      <c r="AE13" s="22">
        <v>7.6212732876578997</v>
      </c>
    </row>
    <row r="14" spans="1:31" x14ac:dyDescent="0.2">
      <c r="A14" s="3">
        <v>13</v>
      </c>
      <c r="B14" s="4" t="s">
        <v>78</v>
      </c>
      <c r="C14" s="5" t="s">
        <v>125</v>
      </c>
      <c r="D14" s="4" t="s">
        <v>6</v>
      </c>
      <c r="E14" s="4" t="s">
        <v>125</v>
      </c>
      <c r="F14" s="4" t="s">
        <v>4</v>
      </c>
      <c r="G14" s="4" t="s">
        <v>109</v>
      </c>
      <c r="H14" s="21">
        <v>-2.2718530547763698</v>
      </c>
      <c r="I14" s="21">
        <v>7.0783981192353698E-2</v>
      </c>
      <c r="J14" s="21">
        <v>-0.48794538473027599</v>
      </c>
      <c r="K14" s="21">
        <v>8.2678227370109294</v>
      </c>
      <c r="L14" s="21">
        <v>6.0263335281600003</v>
      </c>
      <c r="M14" s="21">
        <v>2.9699009704424402</v>
      </c>
      <c r="N14" s="21">
        <v>-1.24802214484081</v>
      </c>
      <c r="O14" s="21">
        <v>-2.67956333159924</v>
      </c>
      <c r="P14" s="21">
        <v>-2.1232956020048301</v>
      </c>
      <c r="Q14" s="21">
        <v>-3.45600980721734</v>
      </c>
      <c r="R14" s="21">
        <v>0.33299015983166602</v>
      </c>
      <c r="S14" s="21">
        <v>-12.271277734722</v>
      </c>
      <c r="T14" s="21">
        <v>0.32011406430928302</v>
      </c>
      <c r="U14" s="21">
        <v>-6.3279965626761596</v>
      </c>
      <c r="V14" s="21">
        <v>0.42045964962231303</v>
      </c>
      <c r="W14" s="21">
        <v>-0.45203627811437802</v>
      </c>
      <c r="X14" s="21">
        <v>2.0405279197979498</v>
      </c>
      <c r="Y14" s="21">
        <v>0.42326554968025798</v>
      </c>
      <c r="Z14" s="21">
        <v>0.38875368819245698</v>
      </c>
      <c r="AA14" s="21">
        <v>2.1232976786886701</v>
      </c>
      <c r="AB14" s="21">
        <v>0.36658894088266097</v>
      </c>
      <c r="AC14" s="21">
        <v>0.44185043049558498</v>
      </c>
      <c r="AD14" s="21">
        <v>0.42156003912669199</v>
      </c>
      <c r="AE14" s="21">
        <v>0.400180616301196</v>
      </c>
    </row>
    <row r="15" spans="1:31" x14ac:dyDescent="0.2">
      <c r="A15" s="3">
        <v>14</v>
      </c>
      <c r="B15" s="7" t="s">
        <v>72</v>
      </c>
      <c r="C15" s="8" t="s">
        <v>125</v>
      </c>
      <c r="D15" s="7" t="s">
        <v>107</v>
      </c>
      <c r="E15" s="7" t="s">
        <v>125</v>
      </c>
      <c r="F15" s="7" t="s">
        <v>31</v>
      </c>
      <c r="G15" s="7" t="s">
        <v>109</v>
      </c>
      <c r="H15" s="22">
        <v>231.29872715762701</v>
      </c>
      <c r="I15" s="22">
        <v>217.03422267581999</v>
      </c>
      <c r="J15" s="22">
        <v>199.02596594347</v>
      </c>
      <c r="K15" s="22">
        <v>488.83501932577298</v>
      </c>
      <c r="L15" s="22">
        <v>1146.2134953209099</v>
      </c>
      <c r="M15" s="22">
        <v>1163.1890109328699</v>
      </c>
      <c r="N15" s="22">
        <v>211.09917401061401</v>
      </c>
      <c r="O15" s="22">
        <v>200.73842702730701</v>
      </c>
      <c r="P15" s="22">
        <v>207.251209105529</v>
      </c>
      <c r="Q15" s="22">
        <v>188.29526730257899</v>
      </c>
      <c r="R15" s="22">
        <v>215.34519784154401</v>
      </c>
      <c r="S15" s="22">
        <v>179.68303622168801</v>
      </c>
      <c r="T15" s="22">
        <v>198.69338827919699</v>
      </c>
      <c r="U15" s="22">
        <v>221.63187459801</v>
      </c>
      <c r="V15" s="22">
        <v>249.075815164136</v>
      </c>
      <c r="W15" s="22">
        <v>214.137829278732</v>
      </c>
      <c r="X15" s="22">
        <v>173.39089111925401</v>
      </c>
      <c r="Y15" s="22">
        <v>204.347511233571</v>
      </c>
      <c r="Z15" s="22">
        <v>237.334113127611</v>
      </c>
      <c r="AA15" s="22">
        <v>158.2797343448</v>
      </c>
      <c r="AB15" s="22">
        <v>210.41817996114901</v>
      </c>
      <c r="AC15" s="22">
        <v>242.238510273739</v>
      </c>
      <c r="AD15" s="22">
        <v>224.54080383210001</v>
      </c>
      <c r="AE15" s="22">
        <v>206.45636511677799</v>
      </c>
    </row>
    <row r="16" spans="1:31" x14ac:dyDescent="0.2">
      <c r="A16" s="3">
        <v>15</v>
      </c>
      <c r="B16" s="4" t="s">
        <v>11</v>
      </c>
      <c r="C16" s="5" t="s">
        <v>125</v>
      </c>
      <c r="D16" s="4" t="s">
        <v>59</v>
      </c>
      <c r="E16" s="4" t="s">
        <v>125</v>
      </c>
      <c r="F16" s="4" t="s">
        <v>104</v>
      </c>
      <c r="G16" s="4" t="s">
        <v>109</v>
      </c>
      <c r="H16" s="21">
        <v>0.88126634096904699</v>
      </c>
      <c r="I16" s="21">
        <v>0.68357708749301804</v>
      </c>
      <c r="J16" s="21">
        <v>0.779051480070307</v>
      </c>
      <c r="K16" s="21">
        <v>-36.013455843721502</v>
      </c>
      <c r="L16" s="21">
        <v>3.4318938479682202</v>
      </c>
      <c r="M16" s="21">
        <v>-5.9711984141190597E-2</v>
      </c>
      <c r="N16" s="21">
        <v>1.03407842722926</v>
      </c>
      <c r="O16" s="21">
        <v>1.3575560796078701</v>
      </c>
      <c r="P16" s="21">
        <v>1.06316116088387</v>
      </c>
      <c r="Q16" s="21">
        <v>0.31771378465196998</v>
      </c>
      <c r="R16" s="21">
        <v>0.69772747172738903</v>
      </c>
      <c r="S16" s="21">
        <v>1.13700172595374E-2</v>
      </c>
      <c r="T16" s="21">
        <v>0.69407914767257395</v>
      </c>
      <c r="U16" s="21">
        <v>0.795701126658377</v>
      </c>
      <c r="V16" s="21">
        <v>0.69061543943192805</v>
      </c>
      <c r="W16" s="21">
        <v>0.66295234514536205</v>
      </c>
      <c r="X16" s="21">
        <v>4.4516894420243398</v>
      </c>
      <c r="Y16" s="21">
        <v>0.88920054546566496</v>
      </c>
      <c r="Z16" s="21">
        <v>0.637502450103551</v>
      </c>
      <c r="AA16" s="21">
        <v>2.20666898775929</v>
      </c>
      <c r="AB16" s="21">
        <v>0.70304052283000196</v>
      </c>
      <c r="AC16" s="21">
        <v>0.81140111738050402</v>
      </c>
      <c r="AD16" s="21">
        <v>0.80278729676502103</v>
      </c>
      <c r="AE16" s="21">
        <v>0.79254422435744298</v>
      </c>
    </row>
    <row r="17" spans="1:31" x14ac:dyDescent="0.2">
      <c r="A17" s="3">
        <v>16</v>
      </c>
      <c r="B17" s="7" t="s">
        <v>49</v>
      </c>
      <c r="C17" s="8" t="s">
        <v>125</v>
      </c>
      <c r="D17" s="7" t="s">
        <v>143</v>
      </c>
      <c r="E17" s="7" t="s">
        <v>125</v>
      </c>
      <c r="F17" s="7" t="s">
        <v>48</v>
      </c>
      <c r="G17" s="7" t="s">
        <v>109</v>
      </c>
      <c r="H17" s="22">
        <v>2.2727362815782</v>
      </c>
      <c r="I17" s="22">
        <v>0.165631633996974</v>
      </c>
      <c r="J17" s="22">
        <v>1.78829496413294</v>
      </c>
      <c r="K17" s="22">
        <v>-41.464423281321501</v>
      </c>
      <c r="L17" s="22">
        <v>0.83258739803640003</v>
      </c>
      <c r="M17" s="22">
        <v>-1.92105336694034</v>
      </c>
      <c r="N17" s="22">
        <v>194.75919905816099</v>
      </c>
      <c r="O17" s="22">
        <v>354.47444708595998</v>
      </c>
      <c r="P17" s="22">
        <v>275.83574668655001</v>
      </c>
      <c r="Q17" s="22">
        <v>393.006211215203</v>
      </c>
      <c r="R17" s="22">
        <v>1.7139168503451398E-2</v>
      </c>
      <c r="S17" s="22">
        <v>-4.85998767333035</v>
      </c>
      <c r="T17" s="22">
        <v>3.5170792646128698E-2</v>
      </c>
      <c r="U17" s="22">
        <v>0.64418881829434005</v>
      </c>
      <c r="V17" s="22">
        <v>3.2339883448422702E-2</v>
      </c>
      <c r="W17" s="22">
        <v>2.71137841926179</v>
      </c>
      <c r="X17" s="22">
        <v>1.6619646171689499</v>
      </c>
      <c r="Y17" s="22">
        <v>0.13420551122975399</v>
      </c>
      <c r="Z17" s="22">
        <v>3.35562521490642E-2</v>
      </c>
      <c r="AA17" s="22">
        <v>0.49587072228212797</v>
      </c>
      <c r="AB17" s="22">
        <v>3.2150989349442903E-2</v>
      </c>
      <c r="AC17" s="22">
        <v>4.2981887540974602E-2</v>
      </c>
      <c r="AD17" s="22">
        <v>3.7059804461886697E-2</v>
      </c>
      <c r="AE17" s="22">
        <v>3.8045275432207801E-2</v>
      </c>
    </row>
    <row r="18" spans="1:31" x14ac:dyDescent="0.2">
      <c r="A18" s="3">
        <v>17</v>
      </c>
      <c r="B18" s="4" t="s">
        <v>78</v>
      </c>
      <c r="C18" s="5" t="s">
        <v>125</v>
      </c>
      <c r="D18" s="4" t="s">
        <v>23</v>
      </c>
      <c r="E18" s="4" t="s">
        <v>125</v>
      </c>
      <c r="F18" s="4" t="s">
        <v>29</v>
      </c>
      <c r="G18" s="4" t="s">
        <v>109</v>
      </c>
      <c r="H18" s="21">
        <v>0.29336890271654598</v>
      </c>
      <c r="I18" s="21">
        <v>-2.1285621926958498E-3</v>
      </c>
      <c r="J18" s="21">
        <v>9.7207430128911795E-2</v>
      </c>
      <c r="K18" s="21">
        <v>-17.297945517977499</v>
      </c>
      <c r="L18" s="21">
        <v>-0.56824656636372495</v>
      </c>
      <c r="M18" s="21">
        <v>-1.7612834634274199</v>
      </c>
      <c r="N18" s="21">
        <v>0.89144697579963605</v>
      </c>
      <c r="O18" s="21">
        <v>1.27769914561613</v>
      </c>
      <c r="P18" s="21">
        <v>1.40151291132606</v>
      </c>
      <c r="Q18" s="21">
        <v>1.0024234691032099</v>
      </c>
      <c r="R18" s="21">
        <v>1.0448779491570601E-3</v>
      </c>
      <c r="S18" s="21">
        <v>4.5063455442387097</v>
      </c>
      <c r="T18" s="21">
        <v>8.5004583182286195E-3</v>
      </c>
      <c r="U18" s="21">
        <v>-0.33585784783234901</v>
      </c>
      <c r="V18" s="21">
        <v>5.5972277005714201E-3</v>
      </c>
      <c r="W18" s="21">
        <v>-4.7510523672236703E-2</v>
      </c>
      <c r="X18" s="21">
        <v>2.8475213012282601</v>
      </c>
      <c r="Y18" s="21">
        <v>7.1842616440121604E-2</v>
      </c>
      <c r="Z18" s="21">
        <v>3.6126591128138202E-3</v>
      </c>
      <c r="AA18" s="21">
        <v>0.437334148815195</v>
      </c>
      <c r="AB18" s="21">
        <v>5.7684719642891596E-3</v>
      </c>
      <c r="AC18" s="21">
        <v>1.2316728302820301E-2</v>
      </c>
      <c r="AD18" s="21">
        <v>1.4962045523452599E-2</v>
      </c>
      <c r="AE18" s="21">
        <v>1.39998672546105E-2</v>
      </c>
    </row>
    <row r="19" spans="1:31" x14ac:dyDescent="0.2">
      <c r="A19" s="3">
        <v>18</v>
      </c>
      <c r="B19" s="7" t="s">
        <v>22</v>
      </c>
      <c r="C19" s="8" t="s">
        <v>125</v>
      </c>
      <c r="D19" s="7" t="s">
        <v>66</v>
      </c>
      <c r="E19" s="7" t="s">
        <v>125</v>
      </c>
      <c r="F19" s="7" t="s">
        <v>68</v>
      </c>
      <c r="G19" s="7" t="s">
        <v>109</v>
      </c>
      <c r="H19" s="22">
        <v>4.2425485297715504</v>
      </c>
      <c r="I19" s="22">
        <v>2.4923227403566299</v>
      </c>
      <c r="J19" s="22">
        <v>4.5204473484463499</v>
      </c>
      <c r="K19" s="22">
        <v>-1.799041156818</v>
      </c>
      <c r="L19" s="22">
        <v>12.1888250961005</v>
      </c>
      <c r="M19" s="22">
        <v>7.60190775989106</v>
      </c>
      <c r="N19" s="22">
        <v>3.31619210614162</v>
      </c>
      <c r="O19" s="22">
        <v>4.9689262980863198</v>
      </c>
      <c r="P19" s="22">
        <v>3.5308843789972499</v>
      </c>
      <c r="Q19" s="22">
        <v>3.5843793022404999</v>
      </c>
      <c r="R19" s="22">
        <v>2.4018640642297702</v>
      </c>
      <c r="S19" s="22">
        <v>4.7490996380313701</v>
      </c>
      <c r="T19" s="22">
        <v>2.43844458373772</v>
      </c>
      <c r="U19" s="22">
        <v>2.1892686307745399</v>
      </c>
      <c r="V19" s="22">
        <v>2.3519484434081801</v>
      </c>
      <c r="W19" s="22">
        <v>5.3401324595253996</v>
      </c>
      <c r="X19" s="22">
        <v>6.6101888630461003</v>
      </c>
      <c r="Y19" s="22">
        <v>2.6444624603906699</v>
      </c>
      <c r="Z19" s="22">
        <v>2.2562648209092</v>
      </c>
      <c r="AA19" s="22">
        <v>2.2220184740956399</v>
      </c>
      <c r="AB19" s="22">
        <v>2.45554693696808</v>
      </c>
      <c r="AC19" s="22">
        <v>2.62765099195546</v>
      </c>
      <c r="AD19" s="22">
        <v>2.6340288792925</v>
      </c>
      <c r="AE19" s="22">
        <v>2.6442411439067302</v>
      </c>
    </row>
    <row r="20" spans="1:31" x14ac:dyDescent="0.2">
      <c r="A20" s="3">
        <v>19</v>
      </c>
      <c r="B20" s="4" t="s">
        <v>51</v>
      </c>
      <c r="C20" s="5" t="s">
        <v>125</v>
      </c>
      <c r="D20" s="4" t="s">
        <v>115</v>
      </c>
      <c r="E20" s="4" t="s">
        <v>125</v>
      </c>
      <c r="F20" s="4" t="s">
        <v>56</v>
      </c>
      <c r="G20" s="4" t="s">
        <v>109</v>
      </c>
      <c r="H20" s="21">
        <v>209.93459927862901</v>
      </c>
      <c r="I20" s="21">
        <v>201.87030351784099</v>
      </c>
      <c r="J20" s="21">
        <v>204.55524144924601</v>
      </c>
      <c r="K20" s="21">
        <v>1091.24817662189</v>
      </c>
      <c r="L20" s="21">
        <v>1077.5388708791099</v>
      </c>
      <c r="M20" s="21">
        <v>1021.63566395778</v>
      </c>
      <c r="N20" s="21">
        <v>201.51987630995899</v>
      </c>
      <c r="O20" s="21">
        <v>209.68378267861101</v>
      </c>
      <c r="P20" s="21">
        <v>202.20459541173</v>
      </c>
      <c r="Q20" s="21">
        <v>182.91564383246299</v>
      </c>
      <c r="R20" s="21">
        <v>197.60011382676601</v>
      </c>
      <c r="S20" s="21">
        <v>197.36724297868599</v>
      </c>
      <c r="T20" s="21">
        <v>210.33377062807401</v>
      </c>
      <c r="U20" s="21">
        <v>204.04050966088801</v>
      </c>
      <c r="V20" s="21">
        <v>210.93758258816601</v>
      </c>
      <c r="W20" s="21">
        <v>211.828358411724</v>
      </c>
      <c r="X20" s="21">
        <v>189.305138120419</v>
      </c>
      <c r="Y20" s="21">
        <v>214.62134539922499</v>
      </c>
      <c r="Z20" s="21">
        <v>203.63178336931</v>
      </c>
      <c r="AA20" s="21">
        <v>164.932455465792</v>
      </c>
      <c r="AB20" s="21">
        <v>200.27903375197999</v>
      </c>
      <c r="AC20" s="21">
        <v>213.643298702002</v>
      </c>
      <c r="AD20" s="21">
        <v>209.66516616401799</v>
      </c>
      <c r="AE20" s="21">
        <v>211.43418531799</v>
      </c>
    </row>
    <row r="21" spans="1:31" x14ac:dyDescent="0.2">
      <c r="A21" s="3">
        <v>20</v>
      </c>
      <c r="B21" s="7" t="s">
        <v>138</v>
      </c>
      <c r="C21" s="8" t="s">
        <v>125</v>
      </c>
      <c r="D21" s="7" t="s">
        <v>150</v>
      </c>
      <c r="E21" s="7" t="s">
        <v>125</v>
      </c>
      <c r="F21" s="7" t="s">
        <v>85</v>
      </c>
      <c r="G21" s="7" t="s">
        <v>109</v>
      </c>
      <c r="H21" s="22">
        <v>1.2077703465747001</v>
      </c>
      <c r="I21" s="22">
        <v>0.691252907287494</v>
      </c>
      <c r="J21" s="22">
        <v>0.68630241898910105</v>
      </c>
      <c r="K21" s="22">
        <v>-18.684835580824799</v>
      </c>
      <c r="L21" s="22">
        <v>4.0831671648107699</v>
      </c>
      <c r="M21" s="22">
        <v>0.34609476803209699</v>
      </c>
      <c r="N21" s="22">
        <v>1.15888099590327</v>
      </c>
      <c r="O21" s="22">
        <v>1.42853978773575</v>
      </c>
      <c r="P21" s="22">
        <v>0.87648698255903401</v>
      </c>
      <c r="Q21" s="22">
        <v>0.17938395066021301</v>
      </c>
      <c r="R21" s="22">
        <v>0.67875483409068504</v>
      </c>
      <c r="S21" s="22">
        <v>-7.2386165128692603</v>
      </c>
      <c r="T21" s="22">
        <v>0.72698413190951605</v>
      </c>
      <c r="U21" s="22">
        <v>1.53869978542547</v>
      </c>
      <c r="V21" s="22">
        <v>0.78362262843720698</v>
      </c>
      <c r="W21" s="22">
        <v>0.63990870238584796</v>
      </c>
      <c r="X21" s="22">
        <v>3.11565372891932</v>
      </c>
      <c r="Y21" s="22">
        <v>0.89345577420836497</v>
      </c>
      <c r="Z21" s="22">
        <v>0.68680981658415796</v>
      </c>
      <c r="AA21" s="22">
        <v>1.9328411699611101</v>
      </c>
      <c r="AB21" s="22">
        <v>0.74556059588137102</v>
      </c>
      <c r="AC21" s="22">
        <v>0.86706076729445902</v>
      </c>
      <c r="AD21" s="22">
        <v>0.817766860039708</v>
      </c>
      <c r="AE21" s="22">
        <v>0.81310220557808799</v>
      </c>
    </row>
    <row r="22" spans="1:31" x14ac:dyDescent="0.2">
      <c r="A22" s="3">
        <v>21</v>
      </c>
      <c r="B22" s="4" t="s">
        <v>112</v>
      </c>
      <c r="C22" s="5" t="s">
        <v>125</v>
      </c>
      <c r="D22" s="4" t="s">
        <v>101</v>
      </c>
      <c r="E22" s="4" t="s">
        <v>125</v>
      </c>
      <c r="F22" s="4" t="s">
        <v>152</v>
      </c>
      <c r="G22" s="4" t="s">
        <v>109</v>
      </c>
      <c r="H22" s="21">
        <v>226.815448412367</v>
      </c>
      <c r="I22" s="21">
        <v>65.022586498516702</v>
      </c>
      <c r="J22" s="21">
        <v>38.419262412177602</v>
      </c>
      <c r="K22" s="21">
        <v>2225.3163391888902</v>
      </c>
      <c r="L22" s="21">
        <v>4.9779823639751104</v>
      </c>
      <c r="M22" s="21">
        <v>4309.7598435250902</v>
      </c>
      <c r="N22" s="21">
        <v>435.00558557807801</v>
      </c>
      <c r="O22" s="21">
        <v>770.83079806633202</v>
      </c>
      <c r="P22" s="21">
        <v>608.42337104680803</v>
      </c>
      <c r="Q22" s="21">
        <v>816.80150262943198</v>
      </c>
      <c r="R22" s="21">
        <v>1.5292568232114201</v>
      </c>
      <c r="S22" s="21">
        <v>6.6615473646674097</v>
      </c>
      <c r="T22" s="21">
        <v>1.1468017576701999E-2</v>
      </c>
      <c r="U22" s="21">
        <v>-6.5840152721890997</v>
      </c>
      <c r="V22" s="21">
        <v>0.55988407552951702</v>
      </c>
      <c r="W22" s="21">
        <v>3.57595036331728</v>
      </c>
      <c r="X22" s="21">
        <v>-0.86713637568220603</v>
      </c>
      <c r="Y22" s="21">
        <v>0.20034897901299301</v>
      </c>
      <c r="Z22" s="21">
        <v>1.25409273370676</v>
      </c>
      <c r="AA22" s="21">
        <v>0.73652182631335295</v>
      </c>
      <c r="AB22" s="21">
        <v>5.5904050151935399E-2</v>
      </c>
      <c r="AC22" s="21">
        <v>0.108560794989883</v>
      </c>
      <c r="AD22" s="21">
        <v>0.109145807188025</v>
      </c>
      <c r="AE22" s="21">
        <v>0.103176675820482</v>
      </c>
    </row>
    <row r="23" spans="1:31" x14ac:dyDescent="0.2">
      <c r="A23" s="3">
        <v>22</v>
      </c>
      <c r="B23" s="7" t="s">
        <v>95</v>
      </c>
      <c r="C23" s="8" t="s">
        <v>125</v>
      </c>
      <c r="D23" s="7" t="s">
        <v>92</v>
      </c>
      <c r="E23" s="7" t="s">
        <v>125</v>
      </c>
      <c r="F23" s="7" t="s">
        <v>124</v>
      </c>
      <c r="G23" s="7" t="s">
        <v>109</v>
      </c>
      <c r="H23" s="22">
        <v>285.86046669795297</v>
      </c>
      <c r="I23" s="22">
        <v>415.93616154734298</v>
      </c>
      <c r="J23" s="22">
        <v>10.8853442466757</v>
      </c>
      <c r="K23" s="22">
        <v>546.83704604355898</v>
      </c>
      <c r="L23" s="22">
        <v>2.3643208648596601</v>
      </c>
      <c r="M23" s="22">
        <v>181.745380801783</v>
      </c>
      <c r="N23" s="22">
        <v>571.27315003709998</v>
      </c>
      <c r="O23" s="22">
        <v>1007.9815947627</v>
      </c>
      <c r="P23" s="22">
        <v>817.72881971569097</v>
      </c>
      <c r="Q23" s="22">
        <v>1197.7764938626501</v>
      </c>
      <c r="R23" s="22">
        <v>0.219222265540754</v>
      </c>
      <c r="S23" s="22">
        <v>-4.7301137339806401</v>
      </c>
      <c r="T23" s="22">
        <v>-2.12694967712895E-2</v>
      </c>
      <c r="U23" s="22">
        <v>-6.5184003544895397</v>
      </c>
      <c r="V23" s="22">
        <v>0.192056344566257</v>
      </c>
      <c r="W23" s="22">
        <v>2.5008175457629802</v>
      </c>
      <c r="X23" s="22">
        <v>-1.81440283081833</v>
      </c>
      <c r="Y23" s="22">
        <v>0.104484838830452</v>
      </c>
      <c r="Z23" s="22">
        <v>1.7699830661225</v>
      </c>
      <c r="AA23" s="22">
        <v>0.27492440070378099</v>
      </c>
      <c r="AB23" s="22">
        <v>1.56088533291233E-2</v>
      </c>
      <c r="AC23" s="22">
        <v>3.8035797695028198E-2</v>
      </c>
      <c r="AD23" s="22">
        <v>3.8370396866478099E-2</v>
      </c>
      <c r="AE23" s="22">
        <v>3.6263514890769802E-2</v>
      </c>
    </row>
    <row r="24" spans="1:31" x14ac:dyDescent="0.2">
      <c r="A24" s="3">
        <v>23</v>
      </c>
      <c r="B24" s="4" t="s">
        <v>146</v>
      </c>
      <c r="C24" s="5" t="s">
        <v>125</v>
      </c>
      <c r="D24" s="4" t="s">
        <v>136</v>
      </c>
      <c r="E24" s="4" t="s">
        <v>125</v>
      </c>
      <c r="F24" s="4" t="s">
        <v>111</v>
      </c>
      <c r="G24" s="4" t="s">
        <v>109</v>
      </c>
      <c r="H24" s="21">
        <v>275.99760927415502</v>
      </c>
      <c r="I24" s="21">
        <v>357.698929480441</v>
      </c>
      <c r="J24" s="21">
        <v>10.79673328775</v>
      </c>
      <c r="K24" s="21">
        <v>519.83902826249096</v>
      </c>
      <c r="L24" s="21">
        <v>3.8926441230862698</v>
      </c>
      <c r="M24" s="21">
        <v>265.92944870391199</v>
      </c>
      <c r="N24" s="21">
        <v>536.70611411807795</v>
      </c>
      <c r="O24" s="21">
        <v>985.59323505107898</v>
      </c>
      <c r="P24" s="21">
        <v>766.65190459957296</v>
      </c>
      <c r="Q24" s="21">
        <v>1130.8011702896299</v>
      </c>
      <c r="R24" s="21">
        <v>0.20666051132945901</v>
      </c>
      <c r="S24" s="21">
        <v>-2.5773995162530801</v>
      </c>
      <c r="T24" s="21">
        <v>-1.4626483261342501E-2</v>
      </c>
      <c r="U24" s="21">
        <v>-6.54530163172823</v>
      </c>
      <c r="V24" s="21">
        <v>0.15357978763918001</v>
      </c>
      <c r="W24" s="21">
        <v>3.12784678092099</v>
      </c>
      <c r="X24" s="21">
        <v>-0.73733758497963897</v>
      </c>
      <c r="Y24" s="21">
        <v>0.15660588508823001</v>
      </c>
      <c r="Z24" s="21">
        <v>2.48021955615447</v>
      </c>
      <c r="AA24" s="21">
        <v>0.148708622690814</v>
      </c>
      <c r="AB24" s="21">
        <v>2.39223119107283E-2</v>
      </c>
      <c r="AC24" s="21">
        <v>3.8833547050158602E-2</v>
      </c>
      <c r="AD24" s="21">
        <v>3.9426167779356099E-2</v>
      </c>
      <c r="AE24" s="21">
        <v>4.2071695962124199E-2</v>
      </c>
    </row>
    <row r="25" spans="1:31" x14ac:dyDescent="0.2">
      <c r="A25" s="3">
        <v>24</v>
      </c>
      <c r="B25" s="7" t="s">
        <v>113</v>
      </c>
      <c r="C25" s="8" t="s">
        <v>125</v>
      </c>
      <c r="D25" s="7" t="s">
        <v>133</v>
      </c>
      <c r="E25" s="7" t="s">
        <v>125</v>
      </c>
      <c r="F25" s="7" t="s">
        <v>130</v>
      </c>
      <c r="G25" s="7" t="s">
        <v>109</v>
      </c>
      <c r="H25" s="22">
        <v>986.95180151341401</v>
      </c>
      <c r="I25" s="22">
        <v>307.01666461498502</v>
      </c>
      <c r="J25" s="22">
        <v>22.8917198377275</v>
      </c>
      <c r="K25" s="22">
        <v>499.13390176894001</v>
      </c>
      <c r="L25" s="22">
        <v>44.4158921564349</v>
      </c>
      <c r="M25" s="22">
        <v>499.39773162127102</v>
      </c>
      <c r="N25" s="22">
        <v>679.77889377879899</v>
      </c>
      <c r="O25" s="22">
        <v>1165.17367276763</v>
      </c>
      <c r="P25" s="22">
        <v>970.16467439757901</v>
      </c>
      <c r="Q25" s="22">
        <v>1466.3451147483099</v>
      </c>
      <c r="R25" s="22">
        <v>7.1341662128649102</v>
      </c>
      <c r="S25" s="22">
        <v>48.451469178419401</v>
      </c>
      <c r="T25" s="22">
        <v>-1.15251026539019E-2</v>
      </c>
      <c r="U25" s="22">
        <v>-6.0248835053127596</v>
      </c>
      <c r="V25" s="22">
        <v>0.64131632431665897</v>
      </c>
      <c r="W25" s="22">
        <v>3.2529404753438498</v>
      </c>
      <c r="X25" s="22">
        <v>-4.7916424817429704</v>
      </c>
      <c r="Y25" s="22">
        <v>7.7608349809964394E-2</v>
      </c>
      <c r="Z25" s="22">
        <v>7.0589386074479004</v>
      </c>
      <c r="AA25" s="22">
        <v>0.160162919411693</v>
      </c>
      <c r="AB25" s="22">
        <v>0.113676206950704</v>
      </c>
      <c r="AC25" s="22">
        <v>0.102082386143758</v>
      </c>
      <c r="AD25" s="22">
        <v>9.3344578338452999E-2</v>
      </c>
      <c r="AE25" s="22">
        <v>8.5173605538066993E-2</v>
      </c>
    </row>
    <row r="26" spans="1:31" x14ac:dyDescent="0.2">
      <c r="A26" s="3">
        <v>25</v>
      </c>
      <c r="B26" s="4" t="s">
        <v>8</v>
      </c>
      <c r="C26" s="5" t="s">
        <v>125</v>
      </c>
      <c r="D26" s="4" t="s">
        <v>135</v>
      </c>
      <c r="E26" s="4" t="s">
        <v>125</v>
      </c>
      <c r="F26" s="4" t="s">
        <v>74</v>
      </c>
      <c r="G26" s="4" t="s">
        <v>109</v>
      </c>
      <c r="H26" s="21">
        <v>241.314822574517</v>
      </c>
      <c r="I26" s="21">
        <v>37.6448206276945</v>
      </c>
      <c r="J26" s="21">
        <v>163.85154864624201</v>
      </c>
      <c r="K26" s="21">
        <v>366.763566610552</v>
      </c>
      <c r="L26" s="21">
        <v>10.587896159825201</v>
      </c>
      <c r="M26" s="12" t="s">
        <v>24</v>
      </c>
      <c r="N26" s="21">
        <v>264.58354555018099</v>
      </c>
      <c r="O26" s="21">
        <v>473.60033880941302</v>
      </c>
      <c r="P26" s="21">
        <v>380.90160429743997</v>
      </c>
      <c r="Q26" s="21">
        <v>494.79503761419198</v>
      </c>
      <c r="R26" s="21">
        <v>18.033912755739301</v>
      </c>
      <c r="S26" s="21">
        <v>-0.57542807912532701</v>
      </c>
      <c r="T26" s="21">
        <v>1.68287796141579E-2</v>
      </c>
      <c r="U26" s="21">
        <v>-6.2993052915856502</v>
      </c>
      <c r="V26" s="21">
        <v>1.24005253425499</v>
      </c>
      <c r="W26" s="21">
        <v>18.438354679368</v>
      </c>
      <c r="X26" s="21">
        <v>1.17356903966057</v>
      </c>
      <c r="Y26" s="21">
        <v>0.14788550171581599</v>
      </c>
      <c r="Z26" s="21">
        <v>1.4159217709460601</v>
      </c>
      <c r="AA26" s="21">
        <v>0.18971155056800901</v>
      </c>
      <c r="AB26" s="21">
        <v>0.112658175679057</v>
      </c>
      <c r="AC26" s="21">
        <v>0.18477423693473</v>
      </c>
      <c r="AD26" s="21">
        <v>0.18517100600955999</v>
      </c>
      <c r="AE26" s="21">
        <v>0.19051304550658499</v>
      </c>
    </row>
    <row r="27" spans="1:31" x14ac:dyDescent="0.2">
      <c r="A27" s="3">
        <v>26</v>
      </c>
      <c r="B27" s="7" t="s">
        <v>97</v>
      </c>
      <c r="C27" s="8" t="s">
        <v>125</v>
      </c>
      <c r="D27" s="7" t="s">
        <v>105</v>
      </c>
      <c r="E27" s="7" t="s">
        <v>125</v>
      </c>
      <c r="F27" s="7" t="s">
        <v>15</v>
      </c>
      <c r="G27" s="7" t="s">
        <v>109</v>
      </c>
      <c r="H27" s="22">
        <v>215.73807314858399</v>
      </c>
      <c r="I27" s="22">
        <v>204.19744500714199</v>
      </c>
      <c r="J27" s="22">
        <v>190.53426738070601</v>
      </c>
      <c r="K27" s="22">
        <v>1048.63410306024</v>
      </c>
      <c r="L27" s="22">
        <v>1016.7429236123</v>
      </c>
      <c r="M27" s="22">
        <v>1385.45124701807</v>
      </c>
      <c r="N27" s="22">
        <v>205.301606860124</v>
      </c>
      <c r="O27" s="22">
        <v>184.60572754145699</v>
      </c>
      <c r="P27" s="22">
        <v>203.71070333260499</v>
      </c>
      <c r="Q27" s="22">
        <v>174.103718183404</v>
      </c>
      <c r="R27" s="22">
        <v>198.20614458672699</v>
      </c>
      <c r="S27" s="22">
        <v>161.54896573974699</v>
      </c>
      <c r="T27" s="22">
        <v>166.52858537185301</v>
      </c>
      <c r="U27" s="22">
        <v>184.06585440779099</v>
      </c>
      <c r="V27" s="22">
        <v>220.832303243962</v>
      </c>
      <c r="W27" s="22">
        <v>211.400438758566</v>
      </c>
      <c r="X27" s="22">
        <v>158.51913786628401</v>
      </c>
      <c r="Y27" s="22">
        <v>180.70841216731</v>
      </c>
      <c r="Z27" s="22">
        <v>208.31669416455799</v>
      </c>
      <c r="AA27" s="22">
        <v>142.237490595314</v>
      </c>
      <c r="AB27" s="22">
        <v>188.16312511306501</v>
      </c>
      <c r="AC27" s="22">
        <v>213.88912094501799</v>
      </c>
      <c r="AD27" s="22">
        <v>207.30059795930799</v>
      </c>
      <c r="AE27" s="22">
        <v>191.084765271202</v>
      </c>
    </row>
    <row r="28" spans="1:31" x14ac:dyDescent="0.2">
      <c r="A28" s="3">
        <v>27</v>
      </c>
      <c r="B28" s="4" t="s">
        <v>75</v>
      </c>
      <c r="C28" s="5" t="s">
        <v>125</v>
      </c>
      <c r="D28" s="4" t="s">
        <v>70</v>
      </c>
      <c r="E28" s="4" t="s">
        <v>125</v>
      </c>
      <c r="F28" s="4" t="s">
        <v>7</v>
      </c>
      <c r="G28" s="4" t="s">
        <v>109</v>
      </c>
      <c r="H28" s="21">
        <v>0.90583410823315902</v>
      </c>
      <c r="I28" s="21">
        <v>0.625733297501746</v>
      </c>
      <c r="J28" s="21">
        <v>0.68064795793086397</v>
      </c>
      <c r="K28" s="21">
        <v>13.6969262606789</v>
      </c>
      <c r="L28" s="21">
        <v>3.4286489350346998</v>
      </c>
      <c r="M28" s="21">
        <v>16.239458999027001</v>
      </c>
      <c r="N28" s="21">
        <v>1.2836838366486101</v>
      </c>
      <c r="O28" s="21">
        <v>1.2111522370691601</v>
      </c>
      <c r="P28" s="21">
        <v>1.4598511181195299</v>
      </c>
      <c r="Q28" s="21">
        <v>0.71903691224666799</v>
      </c>
      <c r="R28" s="21">
        <v>0.61014296125359901</v>
      </c>
      <c r="S28" s="21">
        <v>-4.4062715291647203</v>
      </c>
      <c r="T28" s="21">
        <v>0.65856426621706299</v>
      </c>
      <c r="U28" s="21">
        <v>0.63795937507950495</v>
      </c>
      <c r="V28" s="21">
        <v>0.65394420269086695</v>
      </c>
      <c r="W28" s="21">
        <v>0.527945256287084</v>
      </c>
      <c r="X28" s="21">
        <v>2.6081117538210701</v>
      </c>
      <c r="Y28" s="21">
        <v>0.86783615617823795</v>
      </c>
      <c r="Z28" s="21">
        <v>0.60573493711124005</v>
      </c>
      <c r="AA28" s="21">
        <v>1.69137414342557</v>
      </c>
      <c r="AB28" s="21">
        <v>0.70745448635218799</v>
      </c>
      <c r="AC28" s="21">
        <v>0.80294113957784496</v>
      </c>
      <c r="AD28" s="21">
        <v>0.78165234513279802</v>
      </c>
      <c r="AE28" s="21">
        <v>0.79447111623757605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13D6-2327-44F5-8D85-B116D503D854}">
  <sheetPr>
    <tabColor rgb="FF92D050"/>
  </sheetPr>
  <dimension ref="A1:AA7"/>
  <sheetViews>
    <sheetView workbookViewId="0">
      <selection activeCell="B2" sqref="B2:Y7"/>
    </sheetView>
  </sheetViews>
  <sheetFormatPr defaultRowHeight="12.75" x14ac:dyDescent="0.2"/>
  <cols>
    <col min="1" max="1" width="10.7109375" bestFit="1" customWidth="1"/>
    <col min="26" max="26" width="4.42578125" bestFit="1" customWidth="1"/>
    <col min="27" max="27" width="5.28515625" bestFit="1" customWidth="1"/>
  </cols>
  <sheetData>
    <row r="1" spans="1:27" ht="42" x14ac:dyDescent="0.2">
      <c r="B1" s="25" t="s">
        <v>40</v>
      </c>
      <c r="C1" s="1" t="s">
        <v>141</v>
      </c>
      <c r="D1" s="26" t="s">
        <v>2</v>
      </c>
      <c r="E1" s="1" t="s">
        <v>36</v>
      </c>
      <c r="F1" s="1" t="s">
        <v>9</v>
      </c>
      <c r="G1" s="1" t="s">
        <v>47</v>
      </c>
      <c r="H1" s="2" t="s">
        <v>118</v>
      </c>
      <c r="I1" s="1" t="s">
        <v>157</v>
      </c>
      <c r="J1" s="2" t="s">
        <v>18</v>
      </c>
      <c r="K1" s="1" t="s">
        <v>158</v>
      </c>
      <c r="L1" s="1" t="s">
        <v>144</v>
      </c>
      <c r="M1" s="1" t="s">
        <v>134</v>
      </c>
      <c r="N1" s="1" t="s">
        <v>69</v>
      </c>
      <c r="O1" s="1" t="s">
        <v>12</v>
      </c>
      <c r="P1" s="1" t="s">
        <v>87</v>
      </c>
      <c r="Q1" s="1" t="s">
        <v>156</v>
      </c>
      <c r="R1" s="1" t="s">
        <v>159</v>
      </c>
      <c r="S1" s="1" t="s">
        <v>160</v>
      </c>
      <c r="T1" s="1" t="s">
        <v>82</v>
      </c>
      <c r="U1" s="1" t="s">
        <v>39</v>
      </c>
      <c r="V1" s="1" t="s">
        <v>58</v>
      </c>
      <c r="W1" s="1" t="s">
        <v>81</v>
      </c>
      <c r="X1" s="1" t="s">
        <v>28</v>
      </c>
      <c r="Y1" s="1" t="s">
        <v>139</v>
      </c>
      <c r="Z1" t="s">
        <v>161</v>
      </c>
      <c r="AA1" t="s">
        <v>161</v>
      </c>
    </row>
    <row r="2" spans="1:27" x14ac:dyDescent="0.2">
      <c r="A2" s="27" t="s">
        <v>37</v>
      </c>
      <c r="B2" s="21">
        <v>5</v>
      </c>
      <c r="C2" s="21">
        <v>5</v>
      </c>
      <c r="D2" s="21">
        <v>5</v>
      </c>
      <c r="E2" s="21">
        <v>25</v>
      </c>
      <c r="F2" s="21">
        <v>25</v>
      </c>
      <c r="G2" s="21">
        <v>25</v>
      </c>
      <c r="H2" s="21">
        <v>5</v>
      </c>
      <c r="I2" s="21">
        <v>5</v>
      </c>
      <c r="J2" s="21">
        <v>5</v>
      </c>
      <c r="K2" s="21">
        <v>5</v>
      </c>
      <c r="L2" s="21">
        <v>5</v>
      </c>
      <c r="M2" s="21">
        <v>5</v>
      </c>
      <c r="N2" s="21">
        <v>5</v>
      </c>
      <c r="O2" s="21">
        <v>5</v>
      </c>
      <c r="P2" s="21">
        <v>5</v>
      </c>
      <c r="Q2" s="21">
        <v>5</v>
      </c>
      <c r="R2" s="21">
        <v>5</v>
      </c>
      <c r="S2" s="21">
        <v>5</v>
      </c>
      <c r="T2" s="21">
        <v>5</v>
      </c>
      <c r="U2" s="21">
        <v>5</v>
      </c>
      <c r="V2" s="21">
        <v>5</v>
      </c>
      <c r="W2" s="21">
        <v>5</v>
      </c>
      <c r="X2" s="21">
        <v>5</v>
      </c>
      <c r="Y2" s="21">
        <v>5</v>
      </c>
      <c r="Z2" s="28">
        <v>5</v>
      </c>
      <c r="AA2" s="28">
        <v>25</v>
      </c>
    </row>
    <row r="3" spans="1:27" x14ac:dyDescent="0.2">
      <c r="A3" s="29" t="s">
        <v>50</v>
      </c>
      <c r="B3" s="22">
        <v>19.634917246413</v>
      </c>
      <c r="C3" s="22">
        <v>19.984276744212998</v>
      </c>
      <c r="D3" s="22">
        <v>19.809755298991401</v>
      </c>
      <c r="E3" s="22">
        <v>102.882150885055</v>
      </c>
      <c r="F3" s="22">
        <v>99.982652213641302</v>
      </c>
      <c r="G3" s="22">
        <v>99.771730222324607</v>
      </c>
      <c r="H3" s="22">
        <v>20.1454120997664</v>
      </c>
      <c r="I3" s="22">
        <v>20.0577225541535</v>
      </c>
      <c r="J3" s="22">
        <v>19.943851595267901</v>
      </c>
      <c r="K3" s="22">
        <v>19.9641529759432</v>
      </c>
      <c r="L3" s="22">
        <v>19.9938499285422</v>
      </c>
      <c r="M3" s="22">
        <v>19.1532067501794</v>
      </c>
      <c r="N3" s="22">
        <v>19.9874247921679</v>
      </c>
      <c r="O3" s="22">
        <v>20.064784572419001</v>
      </c>
      <c r="P3" s="22">
        <v>19.9895552869041</v>
      </c>
      <c r="Q3" s="22">
        <v>19.9115349064576</v>
      </c>
      <c r="R3" s="22">
        <v>19.688810743022099</v>
      </c>
      <c r="S3" s="22">
        <v>20.017811153003102</v>
      </c>
      <c r="T3" s="22">
        <v>19.978145238500499</v>
      </c>
      <c r="U3" s="22">
        <v>20.0350862458424</v>
      </c>
      <c r="V3" s="22">
        <v>19.983937446040201</v>
      </c>
      <c r="W3" s="22">
        <v>19.990895609296601</v>
      </c>
      <c r="X3" s="22">
        <v>19.997836956487699</v>
      </c>
      <c r="Y3" s="22">
        <v>20.015597237481298</v>
      </c>
      <c r="Z3" s="28">
        <v>20</v>
      </c>
      <c r="AA3" s="28">
        <v>100</v>
      </c>
    </row>
    <row r="4" spans="1:27" x14ac:dyDescent="0.2">
      <c r="A4" s="27" t="s">
        <v>41</v>
      </c>
      <c r="B4" s="21">
        <v>50.448110241883199</v>
      </c>
      <c r="C4" s="21">
        <v>49.943348465740002</v>
      </c>
      <c r="D4" s="21">
        <v>49.9139731277089</v>
      </c>
      <c r="E4" s="21">
        <v>255.85936436694001</v>
      </c>
      <c r="F4" s="21">
        <v>249.47320555002401</v>
      </c>
      <c r="G4" s="21">
        <v>249.65437976614601</v>
      </c>
      <c r="H4" s="21">
        <v>49.949505847602602</v>
      </c>
      <c r="I4" s="21">
        <v>49.884276757279999</v>
      </c>
      <c r="J4" s="21">
        <v>49.749060118529002</v>
      </c>
      <c r="K4" s="21">
        <v>49.704067332344202</v>
      </c>
      <c r="L4" s="21">
        <v>50.3785949121798</v>
      </c>
      <c r="M4" s="21">
        <v>48.640598074491599</v>
      </c>
      <c r="N4" s="21">
        <v>49.997619565507001</v>
      </c>
      <c r="O4" s="21">
        <v>49.978710834538099</v>
      </c>
      <c r="P4" s="21">
        <v>49.855333242957101</v>
      </c>
      <c r="Q4" s="21">
        <v>48.622429116635502</v>
      </c>
      <c r="R4" s="21">
        <v>49.094749487497701</v>
      </c>
      <c r="S4" s="21">
        <v>49.936119826530501</v>
      </c>
      <c r="T4" s="21">
        <v>50.5887052406962</v>
      </c>
      <c r="U4" s="21">
        <v>50.073371426541101</v>
      </c>
      <c r="V4" s="21">
        <v>49.996808666570097</v>
      </c>
      <c r="W4" s="21">
        <v>50.008394223034401</v>
      </c>
      <c r="X4" s="21">
        <v>49.983349863874601</v>
      </c>
      <c r="Y4" s="21">
        <v>50.146385425436101</v>
      </c>
      <c r="Z4" s="28">
        <v>50</v>
      </c>
      <c r="AA4" s="28">
        <v>250</v>
      </c>
    </row>
    <row r="5" spans="1:27" x14ac:dyDescent="0.2">
      <c r="A5" s="29" t="s">
        <v>98</v>
      </c>
      <c r="B5" s="22">
        <v>199.82397797878099</v>
      </c>
      <c r="C5" s="22">
        <v>200.45777478476001</v>
      </c>
      <c r="D5" s="22">
        <v>199.107912706066</v>
      </c>
      <c r="E5" s="22">
        <v>1004.18520705893</v>
      </c>
      <c r="F5" s="22">
        <v>1006.65762347945</v>
      </c>
      <c r="G5" s="22">
        <v>1000.5031297146</v>
      </c>
      <c r="H5" s="22">
        <v>199.63534159909801</v>
      </c>
      <c r="I5" s="22">
        <v>199.901525830682</v>
      </c>
      <c r="J5" s="22">
        <v>199.84756486744399</v>
      </c>
      <c r="K5" s="22">
        <v>200.31456202702901</v>
      </c>
      <c r="L5" s="22">
        <v>198.95922926784499</v>
      </c>
      <c r="M5" s="22">
        <v>199.199269454508</v>
      </c>
      <c r="N5" s="22">
        <v>201.12695718044901</v>
      </c>
      <c r="O5" s="22">
        <v>200.93797124691</v>
      </c>
      <c r="P5" s="22">
        <v>201.26035512539599</v>
      </c>
      <c r="Q5" s="22">
        <v>199.17345458032901</v>
      </c>
      <c r="R5" s="22">
        <v>198.80984243852399</v>
      </c>
      <c r="S5" s="22">
        <v>200.488432147867</v>
      </c>
      <c r="T5" s="22">
        <v>200.54878369527299</v>
      </c>
      <c r="U5" s="22">
        <v>199.515636039783</v>
      </c>
      <c r="V5" s="22">
        <v>200.36055506032099</v>
      </c>
      <c r="W5" s="22">
        <v>200.237307785979</v>
      </c>
      <c r="X5" s="22">
        <v>199.66899544334601</v>
      </c>
      <c r="Y5" s="22">
        <v>199.433664514962</v>
      </c>
      <c r="Z5" s="28">
        <v>200</v>
      </c>
      <c r="AA5" s="28">
        <v>1000</v>
      </c>
    </row>
    <row r="6" spans="1:27" x14ac:dyDescent="0.2">
      <c r="A6" s="27" t="s">
        <v>3</v>
      </c>
      <c r="B6" s="21">
        <v>497.61187587292801</v>
      </c>
      <c r="C6" s="21">
        <v>502.10598167656201</v>
      </c>
      <c r="D6" s="21">
        <v>501.62199864170299</v>
      </c>
      <c r="E6" s="21">
        <v>2508.8908749993002</v>
      </c>
      <c r="F6" s="21">
        <v>2491.3999074830099</v>
      </c>
      <c r="G6" s="21">
        <v>2498.3860854163299</v>
      </c>
      <c r="H6" s="21">
        <v>499.22937831531698</v>
      </c>
      <c r="I6" s="21">
        <v>497.99989973899898</v>
      </c>
      <c r="J6" s="21">
        <v>498.01578947340499</v>
      </c>
      <c r="K6" s="21">
        <v>496.26099830742203</v>
      </c>
      <c r="L6" s="21">
        <v>505.17229017659901</v>
      </c>
      <c r="M6" s="21">
        <v>504.71108969636498</v>
      </c>
      <c r="N6" s="21">
        <v>500.69126471965501</v>
      </c>
      <c r="O6" s="21">
        <v>500.64246605299797</v>
      </c>
      <c r="P6" s="21">
        <v>501.00033611451198</v>
      </c>
      <c r="Q6" s="21">
        <v>500.48945073384402</v>
      </c>
      <c r="R6" s="21">
        <v>504.76160764363499</v>
      </c>
      <c r="S6" s="21">
        <v>498.90581533685503</v>
      </c>
      <c r="T6" s="21">
        <v>501.19550558908003</v>
      </c>
      <c r="U6" s="21">
        <v>516.191854224439</v>
      </c>
      <c r="V6" s="21">
        <v>503.08668958458901</v>
      </c>
      <c r="W6" s="21">
        <v>498.975336472609</v>
      </c>
      <c r="X6" s="21">
        <v>501.59351058860398</v>
      </c>
      <c r="Y6" s="21">
        <v>501.33953134639199</v>
      </c>
      <c r="Z6" s="28">
        <v>500</v>
      </c>
      <c r="AA6" s="28">
        <v>2500</v>
      </c>
    </row>
    <row r="7" spans="1:27" x14ac:dyDescent="0.2">
      <c r="A7" s="29" t="s">
        <v>162</v>
      </c>
      <c r="B7" s="22">
        <v>1995.81061516507</v>
      </c>
      <c r="C7" s="22">
        <v>1998.2615789926799</v>
      </c>
      <c r="D7" s="22">
        <v>1997.72117773215</v>
      </c>
      <c r="E7" s="22">
        <v>9939.0791067089904</v>
      </c>
      <c r="F7" s="22">
        <v>9964.7495651508107</v>
      </c>
      <c r="G7" s="22">
        <v>9982.7670254297209</v>
      </c>
      <c r="H7" s="22">
        <v>1998.1816504363901</v>
      </c>
      <c r="I7" s="22">
        <v>1996.5407046248299</v>
      </c>
      <c r="J7" s="22">
        <v>1998.79057754212</v>
      </c>
      <c r="K7" s="22">
        <v>2015.9492306086299</v>
      </c>
      <c r="L7" s="22">
        <v>2000.0068014158501</v>
      </c>
      <c r="M7" s="22">
        <v>2001.6278151234201</v>
      </c>
      <c r="N7" s="22">
        <v>1996.1824635978801</v>
      </c>
      <c r="O7" s="22">
        <v>1998.9655903477301</v>
      </c>
      <c r="P7" s="22">
        <v>1994.9266378239399</v>
      </c>
      <c r="Q7" s="22">
        <v>1999.1409524067601</v>
      </c>
      <c r="R7" s="22">
        <v>2009.14716641524</v>
      </c>
      <c r="S7" s="22">
        <v>1992.1655006511701</v>
      </c>
      <c r="T7" s="22">
        <v>1994.91855071534</v>
      </c>
      <c r="U7" s="22">
        <v>2000.65278781806</v>
      </c>
      <c r="V7" s="22">
        <v>1994.5937518324699</v>
      </c>
      <c r="W7" s="22">
        <v>1991.1060536751199</v>
      </c>
      <c r="X7" s="22">
        <v>1990.3680697086299</v>
      </c>
      <c r="Y7" s="22">
        <v>1990.56257991349</v>
      </c>
      <c r="Z7" s="28">
        <v>2000</v>
      </c>
      <c r="AA7" s="28">
        <v>10000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A1FF-7F97-4BB9-BDE4-A6FFEDC84009}">
  <sheetPr>
    <tabColor rgb="FF92D050"/>
  </sheetPr>
  <dimension ref="A1:AX20"/>
  <sheetViews>
    <sheetView topLeftCell="A2" zoomScale="98" zoomScaleNormal="98" workbookViewId="0">
      <selection activeCell="B13" sqref="B13:Y13"/>
    </sheetView>
  </sheetViews>
  <sheetFormatPr defaultRowHeight="12.75" x14ac:dyDescent="0.2"/>
  <cols>
    <col min="1" max="1" width="11.85546875" bestFit="1" customWidth="1"/>
    <col min="2" max="4" width="6.7109375" bestFit="1" customWidth="1"/>
    <col min="5" max="7" width="7.5703125" bestFit="1" customWidth="1"/>
    <col min="8" max="8" width="8.85546875" bestFit="1" customWidth="1"/>
    <col min="9" max="9" width="6.7109375" bestFit="1" customWidth="1"/>
    <col min="10" max="10" width="8.85546875" bestFit="1" customWidth="1"/>
    <col min="11" max="16" width="6.7109375" bestFit="1" customWidth="1"/>
    <col min="17" max="17" width="6.7109375" style="39" bestFit="1" customWidth="1"/>
    <col min="18" max="19" width="6.7109375" style="39" customWidth="1"/>
    <col min="20" max="22" width="6.7109375" style="39" bestFit="1" customWidth="1"/>
    <col min="23" max="24" width="6.7109375" style="40" bestFit="1" customWidth="1"/>
    <col min="25" max="25" width="6.7109375" style="39" bestFit="1" customWidth="1"/>
    <col min="26" max="32" width="7" customWidth="1"/>
    <col min="33" max="33" width="8.85546875" bestFit="1" customWidth="1"/>
    <col min="34" max="34" width="7" customWidth="1"/>
    <col min="35" max="35" width="8.85546875" bestFit="1" customWidth="1"/>
    <col min="36" max="48" width="7" customWidth="1"/>
  </cols>
  <sheetData>
    <row r="1" spans="1:50" x14ac:dyDescent="0.2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2"/>
    </row>
    <row r="2" spans="1:50" ht="42" x14ac:dyDescent="0.2">
      <c r="A2" s="1" t="s">
        <v>131</v>
      </c>
      <c r="B2" s="1" t="s">
        <v>40</v>
      </c>
      <c r="C2" s="1" t="s">
        <v>141</v>
      </c>
      <c r="D2" s="1" t="s">
        <v>2</v>
      </c>
      <c r="E2" s="1" t="s">
        <v>36</v>
      </c>
      <c r="F2" s="1" t="s">
        <v>9</v>
      </c>
      <c r="G2" s="1" t="s">
        <v>47</v>
      </c>
      <c r="H2" s="2" t="s">
        <v>118</v>
      </c>
      <c r="I2" s="1" t="s">
        <v>157</v>
      </c>
      <c r="J2" s="2" t="s">
        <v>18</v>
      </c>
      <c r="K2" s="1" t="s">
        <v>158</v>
      </c>
      <c r="L2" s="1" t="s">
        <v>144</v>
      </c>
      <c r="M2" s="1" t="s">
        <v>134</v>
      </c>
      <c r="N2" s="1" t="s">
        <v>69</v>
      </c>
      <c r="O2" s="1" t="s">
        <v>12</v>
      </c>
      <c r="P2" s="1" t="s">
        <v>87</v>
      </c>
      <c r="Q2" s="1" t="s">
        <v>156</v>
      </c>
      <c r="R2" s="1" t="s">
        <v>159</v>
      </c>
      <c r="S2" s="1" t="s">
        <v>160</v>
      </c>
      <c r="T2" s="1" t="s">
        <v>82</v>
      </c>
      <c r="U2" s="1" t="s">
        <v>39</v>
      </c>
      <c r="V2" s="1" t="s">
        <v>58</v>
      </c>
      <c r="W2" s="1" t="s">
        <v>81</v>
      </c>
      <c r="X2" s="1" t="s">
        <v>28</v>
      </c>
      <c r="Y2" s="1" t="s">
        <v>139</v>
      </c>
      <c r="AA2" s="1" t="s">
        <v>40</v>
      </c>
      <c r="AB2" s="1" t="s">
        <v>141</v>
      </c>
      <c r="AC2" s="1" t="s">
        <v>2</v>
      </c>
      <c r="AD2" s="1" t="s">
        <v>36</v>
      </c>
      <c r="AE2" s="1" t="s">
        <v>9</v>
      </c>
      <c r="AF2" s="1" t="s">
        <v>47</v>
      </c>
      <c r="AG2" s="2" t="s">
        <v>118</v>
      </c>
      <c r="AH2" s="1" t="s">
        <v>157</v>
      </c>
      <c r="AI2" s="2" t="s">
        <v>18</v>
      </c>
      <c r="AJ2" s="1" t="s">
        <v>158</v>
      </c>
      <c r="AK2" s="1" t="s">
        <v>144</v>
      </c>
      <c r="AL2" s="1" t="s">
        <v>134</v>
      </c>
      <c r="AM2" s="1" t="s">
        <v>69</v>
      </c>
      <c r="AN2" s="1" t="s">
        <v>12</v>
      </c>
      <c r="AO2" s="1" t="s">
        <v>87</v>
      </c>
      <c r="AP2" s="1" t="s">
        <v>156</v>
      </c>
      <c r="AQ2" s="1" t="s">
        <v>159</v>
      </c>
      <c r="AR2" s="1" t="s">
        <v>160</v>
      </c>
      <c r="AS2" s="1" t="s">
        <v>82</v>
      </c>
      <c r="AT2" s="1" t="s">
        <v>39</v>
      </c>
      <c r="AU2" s="1" t="s">
        <v>58</v>
      </c>
      <c r="AV2" s="1" t="s">
        <v>81</v>
      </c>
      <c r="AW2" s="1" t="s">
        <v>28</v>
      </c>
      <c r="AX2" s="1" t="s">
        <v>139</v>
      </c>
    </row>
    <row r="3" spans="1:50" x14ac:dyDescent="0.2">
      <c r="A3" s="4" t="s">
        <v>163</v>
      </c>
      <c r="B3" s="22">
        <v>231.29872715762701</v>
      </c>
      <c r="C3" s="22">
        <v>217.03422267581999</v>
      </c>
      <c r="D3" s="22">
        <v>199.02596594347</v>
      </c>
      <c r="E3" s="22">
        <v>488.83501932577298</v>
      </c>
      <c r="F3" s="22">
        <v>1146.2134953209099</v>
      </c>
      <c r="G3" s="22">
        <v>1163.1890109328699</v>
      </c>
      <c r="H3" s="22">
        <v>211.09917401061401</v>
      </c>
      <c r="I3" s="22">
        <v>200.73842702730701</v>
      </c>
      <c r="J3" s="22">
        <v>207.251209105529</v>
      </c>
      <c r="K3" s="22">
        <v>188.29526730257899</v>
      </c>
      <c r="L3" s="22">
        <v>215.34519784154401</v>
      </c>
      <c r="M3" s="22">
        <v>179.68303622168801</v>
      </c>
      <c r="N3" s="22">
        <v>198.69338827919699</v>
      </c>
      <c r="O3" s="22">
        <v>221.63187459801</v>
      </c>
      <c r="P3" s="22">
        <v>249.075815164136</v>
      </c>
      <c r="Q3" s="22">
        <v>214.137829278732</v>
      </c>
      <c r="R3" s="22">
        <v>173.39089111925401</v>
      </c>
      <c r="S3" s="22">
        <v>204.347511233571</v>
      </c>
      <c r="T3" s="22">
        <v>237.334113127611</v>
      </c>
      <c r="U3" s="22">
        <v>158.2797343448</v>
      </c>
      <c r="V3" s="22">
        <v>210.41817996114901</v>
      </c>
      <c r="W3" s="22">
        <v>242.238510273739</v>
      </c>
      <c r="X3" s="22">
        <v>224.54080383210001</v>
      </c>
      <c r="Y3" s="22">
        <v>206.45636511677799</v>
      </c>
      <c r="AA3" s="30">
        <f>B3/200*100</f>
        <v>115.64936357881351</v>
      </c>
      <c r="AB3" s="30">
        <f>C3/200*100</f>
        <v>108.51711133790999</v>
      </c>
      <c r="AC3" s="30">
        <f>D3/200*100</f>
        <v>99.512982971734999</v>
      </c>
      <c r="AD3" s="30">
        <f>E3/466.666666*100</f>
        <v>104.75036143373757</v>
      </c>
      <c r="AE3" s="30">
        <f>F3/1000*100</f>
        <v>114.621349532091</v>
      </c>
      <c r="AF3" s="30">
        <f>G3/1000*100</f>
        <v>116.318901093287</v>
      </c>
      <c r="AG3" s="30">
        <f t="shared" ref="AG3:AX3" si="0">H3/200*100</f>
        <v>105.54958700530702</v>
      </c>
      <c r="AH3" s="30">
        <f t="shared" si="0"/>
        <v>100.36921351365351</v>
      </c>
      <c r="AI3" s="30">
        <f t="shared" si="0"/>
        <v>103.6256045527645</v>
      </c>
      <c r="AJ3" s="30">
        <f t="shared" si="0"/>
        <v>94.147633651289496</v>
      </c>
      <c r="AK3" s="30">
        <f t="shared" si="0"/>
        <v>107.67259892077202</v>
      </c>
      <c r="AL3" s="30">
        <f t="shared" si="0"/>
        <v>89.841518110844007</v>
      </c>
      <c r="AM3" s="30">
        <f t="shared" si="0"/>
        <v>99.346694139598497</v>
      </c>
      <c r="AN3" s="30">
        <f t="shared" si="0"/>
        <v>110.81593729900501</v>
      </c>
      <c r="AO3" s="30">
        <f t="shared" si="0"/>
        <v>124.537907582068</v>
      </c>
      <c r="AP3" s="30">
        <f t="shared" si="0"/>
        <v>107.06891463936601</v>
      </c>
      <c r="AQ3" s="30">
        <f t="shared" si="0"/>
        <v>86.695445559627004</v>
      </c>
      <c r="AR3" s="30">
        <f t="shared" si="0"/>
        <v>102.1737556167855</v>
      </c>
      <c r="AS3" s="30">
        <f t="shared" si="0"/>
        <v>118.66705656380549</v>
      </c>
      <c r="AT3" s="30">
        <f t="shared" si="0"/>
        <v>79.139867172400002</v>
      </c>
      <c r="AU3" s="30">
        <f t="shared" si="0"/>
        <v>105.2090899805745</v>
      </c>
      <c r="AV3" s="30">
        <f t="shared" si="0"/>
        <v>121.1192551368695</v>
      </c>
      <c r="AW3" s="30">
        <f t="shared" si="0"/>
        <v>112.27040191605001</v>
      </c>
      <c r="AX3" s="30">
        <f t="shared" si="0"/>
        <v>103.22818255838899</v>
      </c>
    </row>
    <row r="4" spans="1:50" x14ac:dyDescent="0.2">
      <c r="A4" s="4" t="s">
        <v>164</v>
      </c>
      <c r="B4" s="22">
        <v>2.2727362815782</v>
      </c>
      <c r="C4" s="22">
        <v>0.165631633996974</v>
      </c>
      <c r="D4" s="22">
        <v>1.78829496413294</v>
      </c>
      <c r="E4" s="22">
        <v>-41.464423281321501</v>
      </c>
      <c r="F4" s="22">
        <v>0.83258739803640003</v>
      </c>
      <c r="G4" s="22">
        <v>-1.92105336694034</v>
      </c>
      <c r="H4" s="22">
        <v>194.75919905816099</v>
      </c>
      <c r="I4" s="22">
        <v>354.47444708595998</v>
      </c>
      <c r="J4" s="22">
        <v>275.83574668655001</v>
      </c>
      <c r="K4" s="22">
        <v>393.006211215203</v>
      </c>
      <c r="L4" s="22">
        <v>1.7139168503451398E-2</v>
      </c>
      <c r="M4" s="22">
        <v>-4.85998767333035</v>
      </c>
      <c r="N4" s="22">
        <v>3.5170792646128698E-2</v>
      </c>
      <c r="O4" s="22">
        <v>0.64418881829434005</v>
      </c>
      <c r="P4" s="22">
        <v>3.2339883448422702E-2</v>
      </c>
      <c r="Q4" s="22">
        <v>2.71137841926179</v>
      </c>
      <c r="R4" s="22">
        <v>1.6619646171689499</v>
      </c>
      <c r="S4" s="22">
        <v>0.13420551122975399</v>
      </c>
      <c r="T4" s="22">
        <v>3.35562521490642E-2</v>
      </c>
      <c r="U4" s="22">
        <v>0.49587072228212797</v>
      </c>
      <c r="V4" s="22">
        <v>3.2150989349442903E-2</v>
      </c>
      <c r="W4" s="22">
        <v>4.2981887540974602E-2</v>
      </c>
      <c r="X4" s="22">
        <v>3.7059804461886697E-2</v>
      </c>
      <c r="Y4" s="22">
        <v>3.8045275432207801E-2</v>
      </c>
      <c r="AA4" s="31"/>
      <c r="AB4" s="31"/>
      <c r="AC4" s="31"/>
      <c r="AD4" s="103" t="s">
        <v>165</v>
      </c>
      <c r="AE4" s="104"/>
      <c r="AF4" s="32"/>
      <c r="AG4" s="31">
        <f>H4/500*100</f>
        <v>38.951839811632198</v>
      </c>
      <c r="AH4" s="31">
        <f>I4/500*100</f>
        <v>70.89488941719199</v>
      </c>
      <c r="AI4" s="31">
        <f>J4/500*100</f>
        <v>55.167149337310008</v>
      </c>
      <c r="AJ4" s="31">
        <f>K4/500*100</f>
        <v>78.601242243040602</v>
      </c>
      <c r="AK4" s="31"/>
      <c r="AL4" s="31"/>
      <c r="AM4" s="31"/>
      <c r="AN4" s="31"/>
      <c r="AO4" s="31"/>
      <c r="AP4" s="31"/>
      <c r="AS4" s="31"/>
      <c r="AT4" s="31"/>
      <c r="AU4" s="31"/>
      <c r="AV4" s="31"/>
      <c r="AW4" s="31"/>
      <c r="AX4" s="31"/>
    </row>
    <row r="5" spans="1:50" x14ac:dyDescent="0.2">
      <c r="A5" s="4" t="s">
        <v>166</v>
      </c>
      <c r="B5" s="22">
        <v>4.2425485297715504</v>
      </c>
      <c r="C5" s="22">
        <v>2.4923227403566299</v>
      </c>
      <c r="D5" s="22">
        <v>4.5204473484463499</v>
      </c>
      <c r="E5" s="22">
        <v>-1.799041156818</v>
      </c>
      <c r="F5" s="22">
        <v>12.1888250961005</v>
      </c>
      <c r="G5" s="22">
        <v>7.60190775989106</v>
      </c>
      <c r="H5" s="22">
        <v>3.31619210614162</v>
      </c>
      <c r="I5" s="22">
        <v>4.9689262980863198</v>
      </c>
      <c r="J5" s="22">
        <v>3.5308843789972499</v>
      </c>
      <c r="K5" s="22">
        <v>3.5843793022404999</v>
      </c>
      <c r="L5" s="22">
        <v>2.4018640642297702</v>
      </c>
      <c r="M5" s="22">
        <v>4.7490996380313701</v>
      </c>
      <c r="N5" s="22">
        <v>2.43844458373772</v>
      </c>
      <c r="O5" s="22">
        <v>2.1892686307745399</v>
      </c>
      <c r="P5" s="22">
        <v>2.3519484434081801</v>
      </c>
      <c r="Q5" s="22">
        <v>5.3401324595253996</v>
      </c>
      <c r="R5" s="22">
        <v>6.6101888630461003</v>
      </c>
      <c r="S5" s="22">
        <v>2.6444624603906699</v>
      </c>
      <c r="T5" s="22">
        <v>2.2562648209092</v>
      </c>
      <c r="U5" s="22">
        <v>2.2220184740956399</v>
      </c>
      <c r="V5" s="22">
        <v>2.45554693696808</v>
      </c>
      <c r="W5" s="22">
        <v>2.62765099195546</v>
      </c>
      <c r="X5" s="22">
        <v>2.6340288792925</v>
      </c>
      <c r="Y5" s="22">
        <v>2.6442411439067302</v>
      </c>
      <c r="AA5" s="31">
        <f>B5/2.5*100</f>
        <v>169.70194119086202</v>
      </c>
      <c r="AB5" s="31">
        <f>C5/2.5*100</f>
        <v>99.692909614265204</v>
      </c>
      <c r="AC5" s="31">
        <f>D5/2.5*100</f>
        <v>180.817893937854</v>
      </c>
      <c r="AD5" s="31">
        <f>E5/12.5*100</f>
        <v>-14.392329254544</v>
      </c>
      <c r="AE5" s="31">
        <f>F5/12.5*100</f>
        <v>97.510600768803997</v>
      </c>
      <c r="AF5" s="31">
        <f>G5/12.5*100</f>
        <v>60.815262079128487</v>
      </c>
      <c r="AG5" s="31">
        <f t="shared" ref="AG5:AX5" si="1">H5/2.5*100</f>
        <v>132.64768424566481</v>
      </c>
      <c r="AH5" s="31">
        <f t="shared" si="1"/>
        <v>198.75705192345279</v>
      </c>
      <c r="AI5" s="31">
        <f t="shared" si="1"/>
        <v>141.23537515989</v>
      </c>
      <c r="AJ5" s="31">
        <f t="shared" si="1"/>
        <v>143.37517208962001</v>
      </c>
      <c r="AK5" s="31">
        <f t="shared" si="1"/>
        <v>96.074562569190803</v>
      </c>
      <c r="AL5" s="31">
        <f t="shared" si="1"/>
        <v>189.96398552125478</v>
      </c>
      <c r="AM5" s="31">
        <f t="shared" si="1"/>
        <v>97.5377833495088</v>
      </c>
      <c r="AN5" s="31">
        <f t="shared" si="1"/>
        <v>87.570745230981601</v>
      </c>
      <c r="AO5" s="31">
        <f t="shared" si="1"/>
        <v>94.0779377363272</v>
      </c>
      <c r="AP5" s="31">
        <f t="shared" si="1"/>
        <v>213.60529838101598</v>
      </c>
      <c r="AQ5" s="31">
        <f t="shared" si="1"/>
        <v>264.40755452184402</v>
      </c>
      <c r="AR5" s="31">
        <f t="shared" si="1"/>
        <v>105.77849841562679</v>
      </c>
      <c r="AS5" s="31">
        <f t="shared" si="1"/>
        <v>90.250592836368</v>
      </c>
      <c r="AT5" s="31">
        <f t="shared" si="1"/>
        <v>88.880738963825607</v>
      </c>
      <c r="AU5" s="31">
        <f t="shared" si="1"/>
        <v>98.221877478723201</v>
      </c>
      <c r="AV5" s="31">
        <f t="shared" si="1"/>
        <v>105.10603967821841</v>
      </c>
      <c r="AW5" s="31">
        <f t="shared" si="1"/>
        <v>105.36115517169999</v>
      </c>
      <c r="AX5" s="31">
        <f t="shared" si="1"/>
        <v>105.76964575626921</v>
      </c>
    </row>
    <row r="6" spans="1:50" x14ac:dyDescent="0.2">
      <c r="A6" s="7" t="s">
        <v>167</v>
      </c>
      <c r="B6" s="21">
        <v>209.93459927862901</v>
      </c>
      <c r="C6" s="21">
        <v>201.87030351784099</v>
      </c>
      <c r="D6" s="21">
        <v>204.55524144924601</v>
      </c>
      <c r="E6" s="21">
        <v>1091.24817662189</v>
      </c>
      <c r="F6" s="21">
        <v>1077.5388708791099</v>
      </c>
      <c r="G6" s="21">
        <v>1021.63566395778</v>
      </c>
      <c r="H6" s="21">
        <v>201.51987630995899</v>
      </c>
      <c r="I6" s="21">
        <v>209.68378267861101</v>
      </c>
      <c r="J6" s="21">
        <v>202.20459541173</v>
      </c>
      <c r="K6" s="21">
        <v>182.91564383246299</v>
      </c>
      <c r="L6" s="21">
        <v>197.60011382676601</v>
      </c>
      <c r="M6" s="21">
        <v>197.36724297868599</v>
      </c>
      <c r="N6" s="21">
        <v>210.33377062807401</v>
      </c>
      <c r="O6" s="21">
        <v>204.04050966088801</v>
      </c>
      <c r="P6" s="21">
        <v>210.93758258816601</v>
      </c>
      <c r="Q6" s="21">
        <v>211.828358411724</v>
      </c>
      <c r="R6" s="21">
        <v>189.305138120419</v>
      </c>
      <c r="S6" s="21">
        <v>214.62134539922499</v>
      </c>
      <c r="T6" s="21">
        <v>203.63178336931</v>
      </c>
      <c r="U6" s="21">
        <v>164.932455465792</v>
      </c>
      <c r="V6" s="21">
        <v>200.27903375197999</v>
      </c>
      <c r="W6" s="21">
        <v>213.643298702002</v>
      </c>
      <c r="X6" s="21">
        <v>209.66516616401799</v>
      </c>
      <c r="Y6" s="21">
        <v>211.43418531799</v>
      </c>
      <c r="Z6" t="str">
        <f>A6</f>
        <v>CCV1 200 ppb</v>
      </c>
      <c r="AA6" s="30">
        <f t="shared" ref="AA6:AC7" si="2">B6/200*100</f>
        <v>104.9672996393145</v>
      </c>
      <c r="AB6" s="30">
        <f t="shared" si="2"/>
        <v>100.9351517589205</v>
      </c>
      <c r="AC6" s="30">
        <f t="shared" si="2"/>
        <v>102.27762072462301</v>
      </c>
      <c r="AD6" s="30">
        <f t="shared" ref="AD6:AF7" si="3">E6/1000*100</f>
        <v>109.124817662189</v>
      </c>
      <c r="AE6" s="30">
        <f t="shared" si="3"/>
        <v>107.75388708791101</v>
      </c>
      <c r="AF6" s="30">
        <f t="shared" si="3"/>
        <v>102.16356639577799</v>
      </c>
      <c r="AG6" s="30">
        <f t="shared" ref="AG6:AV7" si="4">H6/200*100</f>
        <v>100.75993815497949</v>
      </c>
      <c r="AH6" s="30">
        <f t="shared" si="4"/>
        <v>104.8418913393055</v>
      </c>
      <c r="AI6" s="30">
        <f t="shared" si="4"/>
        <v>101.10229770586501</v>
      </c>
      <c r="AJ6" s="30">
        <f t="shared" si="4"/>
        <v>91.457821916231495</v>
      </c>
      <c r="AK6" s="30">
        <f t="shared" si="4"/>
        <v>98.800056913383003</v>
      </c>
      <c r="AL6" s="30">
        <f t="shared" si="4"/>
        <v>98.683621489342997</v>
      </c>
      <c r="AM6" s="30">
        <f t="shared" si="4"/>
        <v>105.16688531403699</v>
      </c>
      <c r="AN6" s="30">
        <f t="shared" si="4"/>
        <v>102.02025483044402</v>
      </c>
      <c r="AO6" s="30">
        <f t="shared" si="4"/>
        <v>105.46879129408299</v>
      </c>
      <c r="AP6" s="30">
        <f t="shared" si="4"/>
        <v>105.91417920586198</v>
      </c>
      <c r="AQ6" s="30">
        <f t="shared" si="4"/>
        <v>94.652569060209501</v>
      </c>
      <c r="AR6" s="30">
        <f t="shared" si="4"/>
        <v>107.3106726996125</v>
      </c>
      <c r="AS6" s="30">
        <f t="shared" si="4"/>
        <v>101.81589168465499</v>
      </c>
      <c r="AT6" s="30">
        <f t="shared" si="4"/>
        <v>82.466227732896002</v>
      </c>
      <c r="AU6" s="30">
        <f t="shared" si="4"/>
        <v>100.13951687598998</v>
      </c>
      <c r="AV6" s="30">
        <f t="shared" si="4"/>
        <v>106.821649351001</v>
      </c>
      <c r="AW6" s="30">
        <f t="shared" ref="AW6:AX7" si="5">X6/200*100</f>
        <v>104.83258308200899</v>
      </c>
      <c r="AX6" s="30">
        <f t="shared" si="5"/>
        <v>105.717092658995</v>
      </c>
    </row>
    <row r="7" spans="1:50" x14ac:dyDescent="0.2">
      <c r="A7" s="7" t="s">
        <v>97</v>
      </c>
      <c r="B7" s="22">
        <v>215.73807314858399</v>
      </c>
      <c r="C7" s="22">
        <v>204.19744500714199</v>
      </c>
      <c r="D7" s="22">
        <v>190.53426738070601</v>
      </c>
      <c r="E7" s="22">
        <v>1048.63410306024</v>
      </c>
      <c r="F7" s="22">
        <v>1016.7429236123</v>
      </c>
      <c r="G7" s="22">
        <v>1385.45124701807</v>
      </c>
      <c r="H7" s="22">
        <v>205.301606860124</v>
      </c>
      <c r="I7" s="22">
        <v>184.60572754145699</v>
      </c>
      <c r="J7" s="22">
        <v>203.71070333260499</v>
      </c>
      <c r="K7" s="22">
        <v>174.103718183404</v>
      </c>
      <c r="L7" s="22">
        <v>198.20614458672699</v>
      </c>
      <c r="M7" s="22">
        <v>161.54896573974699</v>
      </c>
      <c r="N7" s="22">
        <v>166.52858537185301</v>
      </c>
      <c r="O7" s="22">
        <v>184.06585440779099</v>
      </c>
      <c r="P7" s="22">
        <v>220.832303243962</v>
      </c>
      <c r="Q7" s="22">
        <v>211.400438758566</v>
      </c>
      <c r="R7" s="22">
        <v>158.51913786628401</v>
      </c>
      <c r="S7" s="22">
        <v>180.70841216731</v>
      </c>
      <c r="T7" s="22">
        <v>208.31669416455799</v>
      </c>
      <c r="U7" s="22">
        <v>142.237490595314</v>
      </c>
      <c r="V7" s="22">
        <v>188.16312511306501</v>
      </c>
      <c r="W7" s="22">
        <v>213.88912094501799</v>
      </c>
      <c r="X7" s="22">
        <v>207.30059795930799</v>
      </c>
      <c r="Y7" s="22">
        <v>191.084765271202</v>
      </c>
      <c r="Z7" t="str">
        <f>A7</f>
        <v>CCV2</v>
      </c>
      <c r="AA7" s="30">
        <f t="shared" si="2"/>
        <v>107.86903657429198</v>
      </c>
      <c r="AB7" s="30">
        <f t="shared" si="2"/>
        <v>102.098722503571</v>
      </c>
      <c r="AC7" s="30">
        <f t="shared" si="2"/>
        <v>95.267133690353006</v>
      </c>
      <c r="AD7" s="30">
        <f t="shared" si="3"/>
        <v>104.86341030602399</v>
      </c>
      <c r="AE7" s="30">
        <f t="shared" si="3"/>
        <v>101.67429236123</v>
      </c>
      <c r="AF7" s="30">
        <f t="shared" si="3"/>
        <v>138.545124701807</v>
      </c>
      <c r="AG7" s="30">
        <f t="shared" si="4"/>
        <v>102.65080343006198</v>
      </c>
      <c r="AH7" s="30">
        <f t="shared" si="4"/>
        <v>92.302863770728493</v>
      </c>
      <c r="AI7" s="30">
        <f t="shared" si="4"/>
        <v>101.85535166630251</v>
      </c>
      <c r="AJ7" s="30">
        <f t="shared" si="4"/>
        <v>87.051859091701999</v>
      </c>
      <c r="AK7" s="30">
        <f t="shared" si="4"/>
        <v>99.103072293363496</v>
      </c>
      <c r="AL7" s="30">
        <f t="shared" si="4"/>
        <v>80.774482869873495</v>
      </c>
      <c r="AM7" s="30">
        <f t="shared" si="4"/>
        <v>83.264292685926506</v>
      </c>
      <c r="AN7" s="30">
        <f t="shared" si="4"/>
        <v>92.032927203895497</v>
      </c>
      <c r="AO7" s="30">
        <f t="shared" si="4"/>
        <v>110.416151621981</v>
      </c>
      <c r="AP7" s="30">
        <f t="shared" si="4"/>
        <v>105.700219379283</v>
      </c>
      <c r="AQ7" s="30">
        <f t="shared" si="4"/>
        <v>79.259568933142006</v>
      </c>
      <c r="AR7" s="30">
        <f t="shared" si="4"/>
        <v>90.354206083655001</v>
      </c>
      <c r="AS7" s="30">
        <f t="shared" si="4"/>
        <v>104.15834708227901</v>
      </c>
      <c r="AT7" s="30">
        <f t="shared" si="4"/>
        <v>71.118745297657</v>
      </c>
      <c r="AU7" s="30">
        <f t="shared" si="4"/>
        <v>94.081562556532504</v>
      </c>
      <c r="AV7" s="30">
        <f t="shared" si="4"/>
        <v>106.944560472509</v>
      </c>
      <c r="AW7" s="30">
        <f t="shared" si="5"/>
        <v>103.65029897965398</v>
      </c>
      <c r="AX7" s="30">
        <f t="shared" si="5"/>
        <v>95.542382635601001</v>
      </c>
    </row>
    <row r="8" spans="1:50" x14ac:dyDescent="0.2">
      <c r="A8" s="7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33"/>
      <c r="S8" s="33"/>
      <c r="T8" s="22"/>
      <c r="U8" s="22"/>
      <c r="V8" s="22"/>
      <c r="W8" s="22"/>
      <c r="X8" s="22"/>
      <c r="Y8" s="22"/>
    </row>
    <row r="9" spans="1:50" x14ac:dyDescent="0.2">
      <c r="A9" s="7" t="s">
        <v>11</v>
      </c>
      <c r="B9" s="21">
        <v>0.88126634096904699</v>
      </c>
      <c r="C9" s="21">
        <v>0.68357708749301804</v>
      </c>
      <c r="D9" s="21">
        <v>0.779051480070307</v>
      </c>
      <c r="E9" s="21">
        <v>-36.013455843721502</v>
      </c>
      <c r="F9" s="21">
        <v>3.4318938479682202</v>
      </c>
      <c r="G9" s="21">
        <v>-5.9711984141190597E-2</v>
      </c>
      <c r="H9" s="21">
        <v>1.03407842722926</v>
      </c>
      <c r="I9" s="21">
        <v>1.3575560796078701</v>
      </c>
      <c r="J9" s="21">
        <v>1.06316116088387</v>
      </c>
      <c r="K9" s="21">
        <v>0.31771378465196998</v>
      </c>
      <c r="L9" s="21">
        <v>0.69772747172738903</v>
      </c>
      <c r="M9" s="21">
        <v>1.13700172595374E-2</v>
      </c>
      <c r="N9" s="21">
        <v>0.69407914767257395</v>
      </c>
      <c r="O9" s="21">
        <v>0.795701126658377</v>
      </c>
      <c r="P9" s="21">
        <v>0.69061543943192805</v>
      </c>
      <c r="Q9" s="21">
        <v>0.66295234514536205</v>
      </c>
      <c r="R9" s="21">
        <v>4.4516894420243398</v>
      </c>
      <c r="S9" s="21">
        <v>0.88920054546566496</v>
      </c>
      <c r="T9" s="21">
        <v>0.637502450103551</v>
      </c>
      <c r="U9" s="21">
        <v>2.20666898775929</v>
      </c>
      <c r="V9" s="21">
        <v>0.70304052283000196</v>
      </c>
      <c r="W9" s="21">
        <v>0.81140111738050402</v>
      </c>
      <c r="X9" s="21">
        <v>0.80278729676502103</v>
      </c>
      <c r="Y9" s="21">
        <v>0.79254422435744298</v>
      </c>
    </row>
    <row r="10" spans="1:50" x14ac:dyDescent="0.2">
      <c r="A10" s="4" t="s">
        <v>138</v>
      </c>
      <c r="B10" s="22">
        <v>1.2077703465747001</v>
      </c>
      <c r="C10" s="22">
        <v>0.691252907287494</v>
      </c>
      <c r="D10" s="22">
        <v>0.68630241898910105</v>
      </c>
      <c r="E10" s="22">
        <v>-18.684835580824799</v>
      </c>
      <c r="F10" s="22">
        <v>4.0831671648107699</v>
      </c>
      <c r="G10" s="22">
        <v>0.34609476803209699</v>
      </c>
      <c r="H10" s="22">
        <v>1.15888099590327</v>
      </c>
      <c r="I10" s="22">
        <v>1.42853978773575</v>
      </c>
      <c r="J10" s="22">
        <v>0.87648698255903401</v>
      </c>
      <c r="K10" s="22">
        <v>0.17938395066021301</v>
      </c>
      <c r="L10" s="22">
        <v>0.67875483409068504</v>
      </c>
      <c r="M10" s="22">
        <v>-7.2386165128692603</v>
      </c>
      <c r="N10" s="22">
        <v>0.72698413190951605</v>
      </c>
      <c r="O10" s="22">
        <v>1.53869978542547</v>
      </c>
      <c r="P10" s="22">
        <v>0.78362262843720698</v>
      </c>
      <c r="Q10" s="22">
        <v>0.63990870238584796</v>
      </c>
      <c r="R10" s="22">
        <v>3.11565372891932</v>
      </c>
      <c r="S10" s="22">
        <v>0.89345577420836497</v>
      </c>
      <c r="T10" s="22">
        <v>0.68680981658415796</v>
      </c>
      <c r="U10" s="22">
        <v>1.9328411699611101</v>
      </c>
      <c r="V10" s="22">
        <v>0.74556059588137102</v>
      </c>
      <c r="W10" s="22">
        <v>0.86706076729445902</v>
      </c>
      <c r="X10" s="22">
        <v>0.817766860039708</v>
      </c>
      <c r="Y10" s="22">
        <v>0.81310220557808799</v>
      </c>
    </row>
    <row r="11" spans="1:50" x14ac:dyDescent="0.2">
      <c r="A11" s="4" t="s">
        <v>75</v>
      </c>
      <c r="B11" s="21">
        <v>0.90583410823315902</v>
      </c>
      <c r="C11" s="21">
        <v>0.625733297501746</v>
      </c>
      <c r="D11" s="21">
        <v>0.68064795793086397</v>
      </c>
      <c r="E11" s="21">
        <v>13.6969262606789</v>
      </c>
      <c r="F11" s="21">
        <v>3.4286489350346998</v>
      </c>
      <c r="G11" s="21">
        <v>16.239458999027001</v>
      </c>
      <c r="H11" s="21">
        <v>1.2836838366486101</v>
      </c>
      <c r="I11" s="21">
        <v>1.2111522370691601</v>
      </c>
      <c r="J11" s="21">
        <v>1.4598511181195299</v>
      </c>
      <c r="K11" s="21">
        <v>0.71903691224666799</v>
      </c>
      <c r="L11" s="21">
        <v>0.61014296125359901</v>
      </c>
      <c r="M11" s="21">
        <v>-4.4062715291647203</v>
      </c>
      <c r="N11" s="21">
        <v>0.65856426621706299</v>
      </c>
      <c r="O11" s="21">
        <v>0.63795937507950495</v>
      </c>
      <c r="P11" s="21">
        <v>0.65394420269086695</v>
      </c>
      <c r="Q11" s="21">
        <v>0.527945256287084</v>
      </c>
      <c r="R11" s="21">
        <v>2.6081117538210701</v>
      </c>
      <c r="S11" s="21">
        <v>0.86783615617823795</v>
      </c>
      <c r="T11" s="21">
        <v>0.60573493711124005</v>
      </c>
      <c r="U11" s="21">
        <v>1.69137414342557</v>
      </c>
      <c r="V11" s="21">
        <v>0.70745448635218799</v>
      </c>
      <c r="W11" s="21">
        <v>0.80294113957784496</v>
      </c>
      <c r="X11" s="21">
        <v>0.78165234513279802</v>
      </c>
      <c r="Y11" s="21">
        <v>0.79447111623757605</v>
      </c>
    </row>
    <row r="12" spans="1:50" x14ac:dyDescent="0.2">
      <c r="A12" s="4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50" x14ac:dyDescent="0.2">
      <c r="A13" s="35" t="s">
        <v>168</v>
      </c>
      <c r="B13" s="36">
        <f t="shared" ref="B13:Y13" si="6">AVERAGE(B9:B11)</f>
        <v>0.99829026525896858</v>
      </c>
      <c r="C13" s="36">
        <f t="shared" si="6"/>
        <v>0.66685443076075268</v>
      </c>
      <c r="D13" s="36">
        <f t="shared" si="6"/>
        <v>0.71533395233009067</v>
      </c>
      <c r="E13" s="36">
        <f t="shared" si="6"/>
        <v>-13.667121721289133</v>
      </c>
      <c r="F13" s="36">
        <f t="shared" si="6"/>
        <v>3.6479033159378962</v>
      </c>
      <c r="G13" s="36">
        <f t="shared" si="6"/>
        <v>5.5086139276393027</v>
      </c>
      <c r="H13" s="36">
        <f t="shared" si="6"/>
        <v>1.1588810865937134</v>
      </c>
      <c r="I13" s="36">
        <f t="shared" si="6"/>
        <v>1.33241603480426</v>
      </c>
      <c r="J13" s="36">
        <f t="shared" si="6"/>
        <v>1.1331664205208114</v>
      </c>
      <c r="K13" s="36">
        <f t="shared" si="6"/>
        <v>0.40537821585295036</v>
      </c>
      <c r="L13" s="36">
        <f t="shared" si="6"/>
        <v>0.66220842235722444</v>
      </c>
      <c r="M13" s="36">
        <f t="shared" si="6"/>
        <v>-3.8778393415914807</v>
      </c>
      <c r="N13" s="36">
        <f t="shared" si="6"/>
        <v>0.69320918193305092</v>
      </c>
      <c r="O13" s="36">
        <f t="shared" si="6"/>
        <v>0.99078676238778396</v>
      </c>
      <c r="P13" s="36">
        <f t="shared" si="6"/>
        <v>0.70939409018666721</v>
      </c>
      <c r="Q13" s="36">
        <f t="shared" si="6"/>
        <v>0.6102687679394313</v>
      </c>
      <c r="R13" s="36">
        <f t="shared" si="6"/>
        <v>3.3918183082549103</v>
      </c>
      <c r="S13" s="36">
        <f t="shared" si="6"/>
        <v>0.88349749195075589</v>
      </c>
      <c r="T13" s="36">
        <f t="shared" si="6"/>
        <v>0.64334906793298297</v>
      </c>
      <c r="U13" s="36">
        <f t="shared" si="6"/>
        <v>1.94362810038199</v>
      </c>
      <c r="V13" s="36">
        <f t="shared" si="6"/>
        <v>0.71868520168785366</v>
      </c>
      <c r="W13" s="36">
        <f t="shared" si="6"/>
        <v>0.82713434141760267</v>
      </c>
      <c r="X13" s="36">
        <f t="shared" si="6"/>
        <v>0.80073550064584242</v>
      </c>
      <c r="Y13" s="36">
        <f t="shared" si="6"/>
        <v>0.8000391820577023</v>
      </c>
    </row>
    <row r="14" spans="1:50" x14ac:dyDescent="0.2">
      <c r="A14" s="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50" x14ac:dyDescent="0.2">
      <c r="A15" s="28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1"/>
      <c r="R15" s="21"/>
      <c r="S15" s="21"/>
      <c r="T15" s="21"/>
      <c r="U15" s="21"/>
      <c r="V15" s="34"/>
      <c r="W15" s="34"/>
      <c r="X15" s="34"/>
      <c r="Y15" s="21"/>
    </row>
    <row r="16" spans="1:50" x14ac:dyDescent="0.2">
      <c r="A16" s="4" t="s">
        <v>169</v>
      </c>
      <c r="B16" s="21">
        <v>241.314822574517</v>
      </c>
      <c r="C16" s="21">
        <v>37.6448206276945</v>
      </c>
      <c r="D16" s="21">
        <v>163.85154864624201</v>
      </c>
      <c r="E16" s="21">
        <v>366.763566610552</v>
      </c>
      <c r="F16" s="21">
        <v>10.587896159825201</v>
      </c>
      <c r="G16" s="12" t="s">
        <v>24</v>
      </c>
      <c r="H16" s="21">
        <v>264.58354555018099</v>
      </c>
      <c r="I16" s="21">
        <v>473.60033880941302</v>
      </c>
      <c r="J16" s="21">
        <v>380.90160429743997</v>
      </c>
      <c r="K16" s="21">
        <v>494.79503761419198</v>
      </c>
      <c r="L16" s="21">
        <v>18.033912755739301</v>
      </c>
      <c r="M16" s="21">
        <v>-0.57542807912532701</v>
      </c>
      <c r="N16" s="21">
        <v>1.68287796141579E-2</v>
      </c>
      <c r="O16" s="21">
        <v>-6.2993052915856502</v>
      </c>
      <c r="P16" s="21">
        <v>1.24005253425499</v>
      </c>
      <c r="Q16" s="21">
        <v>18.438354679368</v>
      </c>
      <c r="R16" s="21">
        <v>1.17356903966057</v>
      </c>
      <c r="S16" s="21">
        <v>0.14788550171581599</v>
      </c>
      <c r="T16" s="21">
        <v>1.4159217709460601</v>
      </c>
      <c r="U16" s="21">
        <v>0.18971155056800901</v>
      </c>
      <c r="V16" s="21">
        <v>0.112658175679057</v>
      </c>
      <c r="W16" s="21">
        <v>0.18477423693473</v>
      </c>
      <c r="X16" s="21">
        <v>0.18517100600955999</v>
      </c>
      <c r="Y16" s="21">
        <v>0.19051304550658499</v>
      </c>
    </row>
    <row r="17" spans="1:25" x14ac:dyDescent="0.2">
      <c r="A17" s="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x14ac:dyDescent="0.2">
      <c r="A18" s="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20" spans="1:25" x14ac:dyDescent="0.2">
      <c r="A20" s="37" t="s">
        <v>168</v>
      </c>
      <c r="B20" s="38">
        <f>AVERAGE(B16:B18)</f>
        <v>241.314822574517</v>
      </c>
      <c r="C20" s="38">
        <f t="shared" ref="C20:Y20" si="7">AVERAGE(C16:C18)</f>
        <v>37.6448206276945</v>
      </c>
      <c r="D20" s="38">
        <f t="shared" si="7"/>
        <v>163.85154864624201</v>
      </c>
      <c r="E20" s="38">
        <f t="shared" si="7"/>
        <v>366.763566610552</v>
      </c>
      <c r="F20" s="38">
        <f t="shared" si="7"/>
        <v>10.587896159825201</v>
      </c>
      <c r="G20" s="38" t="e">
        <f t="shared" si="7"/>
        <v>#DIV/0!</v>
      </c>
      <c r="H20" s="38">
        <f t="shared" si="7"/>
        <v>264.58354555018099</v>
      </c>
      <c r="I20" s="38">
        <f t="shared" si="7"/>
        <v>473.60033880941302</v>
      </c>
      <c r="J20" s="38">
        <f t="shared" si="7"/>
        <v>380.90160429743997</v>
      </c>
      <c r="K20" s="38">
        <f t="shared" si="7"/>
        <v>494.79503761419198</v>
      </c>
      <c r="L20" s="38">
        <f t="shared" si="7"/>
        <v>18.033912755739301</v>
      </c>
      <c r="M20" s="38">
        <f t="shared" si="7"/>
        <v>-0.57542807912532701</v>
      </c>
      <c r="N20" s="38">
        <f t="shared" si="7"/>
        <v>1.68287796141579E-2</v>
      </c>
      <c r="O20" s="38">
        <f t="shared" si="7"/>
        <v>-6.2993052915856502</v>
      </c>
      <c r="P20" s="38">
        <f t="shared" si="7"/>
        <v>1.24005253425499</v>
      </c>
      <c r="Q20" s="38">
        <f t="shared" si="7"/>
        <v>18.438354679368</v>
      </c>
      <c r="R20" s="38">
        <f t="shared" si="7"/>
        <v>1.17356903966057</v>
      </c>
      <c r="S20" s="38">
        <f t="shared" si="7"/>
        <v>0.14788550171581599</v>
      </c>
      <c r="T20" s="38">
        <f t="shared" si="7"/>
        <v>1.4159217709460601</v>
      </c>
      <c r="U20" s="38">
        <f t="shared" si="7"/>
        <v>0.18971155056800901</v>
      </c>
      <c r="V20" s="38">
        <f t="shared" si="7"/>
        <v>0.112658175679057</v>
      </c>
      <c r="W20" s="38">
        <f t="shared" si="7"/>
        <v>0.18477423693473</v>
      </c>
      <c r="X20" s="38">
        <f t="shared" si="7"/>
        <v>0.18517100600955999</v>
      </c>
      <c r="Y20" s="38">
        <f t="shared" si="7"/>
        <v>0.19051304550658499</v>
      </c>
    </row>
  </sheetData>
  <mergeCells count="3">
    <mergeCell ref="A1:Y1"/>
    <mergeCell ref="Z1:AW1"/>
    <mergeCell ref="AD4:AE4"/>
  </mergeCells>
  <conditionalFormatting sqref="AA3:AH3 AJ3:AX3 AI3:AI4 AG4:AH4 AJ4 AA6:AX7">
    <cfRule type="cellIs" dxfId="135" priority="3" operator="lessThan">
      <formula>84</formula>
    </cfRule>
    <cfRule type="cellIs" dxfId="134" priority="4" operator="greaterThan">
      <formula>116</formula>
    </cfRule>
  </conditionalFormatting>
  <conditionalFormatting sqref="AA5:AX5">
    <cfRule type="cellIs" dxfId="133" priority="1" operator="greaterThan">
      <formula>146</formula>
    </cfRule>
    <cfRule type="cellIs" dxfId="132" priority="2" operator="lessThan">
      <formula>44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6417-E12D-4924-8048-2A879B6FCC2A}">
  <sheetPr>
    <tabColor rgb="FF92D050"/>
  </sheetPr>
  <dimension ref="A1:BW153"/>
  <sheetViews>
    <sheetView topLeftCell="V1" zoomScaleNormal="100" workbookViewId="0">
      <selection activeCell="AA4" sqref="AA4:AY7"/>
    </sheetView>
  </sheetViews>
  <sheetFormatPr defaultRowHeight="12.75" x14ac:dyDescent="0.2"/>
  <cols>
    <col min="1" max="1" width="19.28515625" style="51" bestFit="1" customWidth="1"/>
    <col min="2" max="2" width="8.28515625" style="51" bestFit="1" customWidth="1"/>
    <col min="3" max="3" width="7.28515625" style="51" bestFit="1" customWidth="1"/>
    <col min="4" max="4" width="7.85546875" style="51" bestFit="1" customWidth="1"/>
    <col min="5" max="5" width="8.85546875" style="51" bestFit="1" customWidth="1"/>
    <col min="6" max="9" width="8.28515625" style="51" bestFit="1" customWidth="1"/>
    <col min="10" max="10" width="8.28515625" style="51" customWidth="1"/>
    <col min="11" max="11" width="8.28515625" style="51" bestFit="1" customWidth="1"/>
    <col min="12" max="12" width="7.28515625" style="51" bestFit="1" customWidth="1"/>
    <col min="13" max="13" width="7.7109375" style="51" bestFit="1" customWidth="1"/>
    <col min="14" max="17" width="7.140625" style="51" bestFit="1" customWidth="1"/>
    <col min="18" max="18" width="6.85546875" style="51" bestFit="1" customWidth="1"/>
    <col min="19" max="19" width="9" style="51" customWidth="1"/>
    <col min="20" max="21" width="7.140625" style="51" bestFit="1" customWidth="1"/>
    <col min="22" max="22" width="7.42578125" style="51" bestFit="1" customWidth="1"/>
    <col min="23" max="23" width="7.28515625" style="51" bestFit="1" customWidth="1"/>
    <col min="24" max="25" width="8" style="51" bestFit="1" customWidth="1"/>
    <col min="26" max="26" width="17.28515625" style="61" customWidth="1"/>
    <col min="27" max="27" width="8.7109375" style="61" bestFit="1" customWidth="1"/>
    <col min="28" max="28" width="8.7109375" style="61" customWidth="1"/>
    <col min="29" max="29" width="8" style="61" customWidth="1"/>
    <col min="30" max="30" width="8.85546875" style="61" customWidth="1"/>
    <col min="31" max="31" width="9" style="61" customWidth="1"/>
    <col min="32" max="32" width="8.42578125" style="61" customWidth="1"/>
    <col min="33" max="33" width="8.5703125" style="61" customWidth="1"/>
    <col min="34" max="34" width="8.42578125" style="61" customWidth="1"/>
    <col min="35" max="36" width="8.7109375" style="61" customWidth="1"/>
    <col min="37" max="37" width="8" style="61" customWidth="1"/>
    <col min="38" max="38" width="8.140625" style="61" customWidth="1"/>
    <col min="39" max="39" width="8.42578125" style="61" customWidth="1"/>
    <col min="40" max="40" width="8.7109375" style="61" customWidth="1"/>
    <col min="41" max="41" width="8.42578125" style="61" customWidth="1"/>
    <col min="42" max="42" width="8.28515625" style="61" customWidth="1"/>
    <col min="43" max="43" width="8.140625" style="61" customWidth="1"/>
    <col min="44" max="45" width="9.140625" style="51"/>
    <col min="46" max="46" width="8.140625" style="61" customWidth="1"/>
    <col min="47" max="49" width="7.85546875" style="61" bestFit="1" customWidth="1"/>
    <col min="50" max="16384" width="9.140625" style="51"/>
  </cols>
  <sheetData>
    <row r="1" spans="1:75" ht="42" x14ac:dyDescent="0.2">
      <c r="A1" s="41" t="s">
        <v>131</v>
      </c>
      <c r="B1" s="41" t="s">
        <v>40</v>
      </c>
      <c r="C1" s="41" t="s">
        <v>141</v>
      </c>
      <c r="D1" s="42" t="s">
        <v>2</v>
      </c>
      <c r="E1" s="43" t="s">
        <v>36</v>
      </c>
      <c r="F1" s="44" t="s">
        <v>9</v>
      </c>
      <c r="G1" s="41" t="s">
        <v>47</v>
      </c>
      <c r="H1" s="2" t="s">
        <v>118</v>
      </c>
      <c r="I1" s="41" t="s">
        <v>157</v>
      </c>
      <c r="J1" s="2" t="s">
        <v>18</v>
      </c>
      <c r="K1" s="41" t="s">
        <v>158</v>
      </c>
      <c r="L1" s="41" t="s">
        <v>144</v>
      </c>
      <c r="M1" s="41" t="s">
        <v>134</v>
      </c>
      <c r="N1" s="41" t="s">
        <v>69</v>
      </c>
      <c r="O1" s="41" t="s">
        <v>12</v>
      </c>
      <c r="P1" s="41" t="s">
        <v>87</v>
      </c>
      <c r="Q1" s="41" t="s">
        <v>156</v>
      </c>
      <c r="R1" s="41" t="s">
        <v>159</v>
      </c>
      <c r="S1" s="41" t="s">
        <v>160</v>
      </c>
      <c r="T1" s="41" t="s">
        <v>82</v>
      </c>
      <c r="U1" s="41" t="s">
        <v>39</v>
      </c>
      <c r="V1" s="41" t="s">
        <v>58</v>
      </c>
      <c r="W1" s="41" t="s">
        <v>81</v>
      </c>
      <c r="X1" s="41" t="s">
        <v>28</v>
      </c>
      <c r="Y1" s="41" t="s">
        <v>139</v>
      </c>
      <c r="Z1" s="45"/>
      <c r="AA1" s="46" t="s">
        <v>131</v>
      </c>
      <c r="AB1" s="46" t="s">
        <v>170</v>
      </c>
      <c r="AC1" s="46" t="s">
        <v>171</v>
      </c>
      <c r="AD1" s="47" t="s">
        <v>172</v>
      </c>
      <c r="AE1" s="48" t="s">
        <v>173</v>
      </c>
      <c r="AF1" s="49" t="s">
        <v>174</v>
      </c>
      <c r="AG1" s="46" t="s">
        <v>175</v>
      </c>
      <c r="AH1" s="50" t="s">
        <v>176</v>
      </c>
      <c r="AI1" s="46" t="s">
        <v>177</v>
      </c>
      <c r="AJ1" s="50" t="s">
        <v>178</v>
      </c>
      <c r="AK1" s="46" t="s">
        <v>179</v>
      </c>
      <c r="AL1" s="46" t="s">
        <v>180</v>
      </c>
      <c r="AM1" s="46" t="s">
        <v>181</v>
      </c>
      <c r="AN1" s="46" t="s">
        <v>182</v>
      </c>
      <c r="AO1" s="46" t="s">
        <v>183</v>
      </c>
      <c r="AP1" s="46" t="s">
        <v>184</v>
      </c>
      <c r="AQ1" s="46" t="s">
        <v>185</v>
      </c>
      <c r="AR1" s="46" t="s">
        <v>19</v>
      </c>
      <c r="AS1" s="46" t="s">
        <v>13</v>
      </c>
      <c r="AT1" s="46" t="s">
        <v>186</v>
      </c>
      <c r="AU1" s="46" t="s">
        <v>187</v>
      </c>
      <c r="AV1" s="46" t="s">
        <v>188</v>
      </c>
      <c r="AW1" s="46" t="s">
        <v>189</v>
      </c>
      <c r="AX1" s="46" t="s">
        <v>190</v>
      </c>
      <c r="AY1" s="46" t="s">
        <v>191</v>
      </c>
      <c r="BA1" s="52" t="s">
        <v>192</v>
      </c>
      <c r="BB1" s="53" t="s">
        <v>193</v>
      </c>
      <c r="BC1" s="53" t="s">
        <v>194</v>
      </c>
      <c r="BD1" s="54" t="s">
        <v>195</v>
      </c>
      <c r="BE1" s="53" t="s">
        <v>196</v>
      </c>
      <c r="BF1" s="53" t="s">
        <v>197</v>
      </c>
      <c r="BG1" s="53" t="s">
        <v>198</v>
      </c>
      <c r="BH1" s="53" t="s">
        <v>199</v>
      </c>
      <c r="BI1" s="53" t="s">
        <v>200</v>
      </c>
      <c r="BJ1" s="53" t="s">
        <v>201</v>
      </c>
      <c r="BK1" s="53" t="s">
        <v>202</v>
      </c>
      <c r="BL1" s="53" t="s">
        <v>203</v>
      </c>
      <c r="BM1" s="53" t="s">
        <v>204</v>
      </c>
      <c r="BN1" s="53" t="s">
        <v>205</v>
      </c>
      <c r="BO1" s="53" t="s">
        <v>206</v>
      </c>
      <c r="BP1" s="52" t="s">
        <v>19</v>
      </c>
      <c r="BQ1" s="53" t="s">
        <v>207</v>
      </c>
      <c r="BR1" s="53" t="s">
        <v>208</v>
      </c>
      <c r="BS1" s="53" t="s">
        <v>209</v>
      </c>
      <c r="BT1" s="53" t="s">
        <v>210</v>
      </c>
      <c r="BU1" s="53" t="s">
        <v>211</v>
      </c>
      <c r="BV1" s="53" t="s">
        <v>212</v>
      </c>
      <c r="BW1" s="53" t="s">
        <v>213</v>
      </c>
    </row>
    <row r="2" spans="1:75" ht="12.75" customHeight="1" x14ac:dyDescent="0.2">
      <c r="A2" s="55" t="s">
        <v>214</v>
      </c>
      <c r="B2" s="36">
        <v>0.99829026525896858</v>
      </c>
      <c r="C2" s="36">
        <v>0.66685443076075268</v>
      </c>
      <c r="D2" s="36">
        <v>0.71533395233009067</v>
      </c>
      <c r="E2" s="36">
        <v>-13.667121721289133</v>
      </c>
      <c r="F2" s="36">
        <v>3.6479033159378962</v>
      </c>
      <c r="G2" s="36">
        <v>5.5086139276393027</v>
      </c>
      <c r="H2" s="36">
        <v>1.1588810865937134</v>
      </c>
      <c r="I2" s="36">
        <v>1.33241603480426</v>
      </c>
      <c r="J2" s="36">
        <v>1.1331664205208114</v>
      </c>
      <c r="K2" s="36">
        <v>0.40537821585295036</v>
      </c>
      <c r="L2" s="36">
        <v>0.66220842235722444</v>
      </c>
      <c r="M2" s="36">
        <v>-3.8778393415914807</v>
      </c>
      <c r="N2" s="36">
        <v>0.69320918193305092</v>
      </c>
      <c r="O2" s="36">
        <v>0.99078676238778396</v>
      </c>
      <c r="P2" s="36">
        <v>0.70939409018666721</v>
      </c>
      <c r="Q2" s="36">
        <v>0.6102687679394313</v>
      </c>
      <c r="R2" s="36">
        <v>3.3918183082549103</v>
      </c>
      <c r="S2" s="36">
        <v>0.88349749195075589</v>
      </c>
      <c r="T2" s="36">
        <v>0.64334906793298297</v>
      </c>
      <c r="U2" s="36">
        <v>1.94362810038199</v>
      </c>
      <c r="V2" s="36">
        <v>0.71868520168785366</v>
      </c>
      <c r="W2" s="36">
        <v>0.82713434141760267</v>
      </c>
      <c r="X2" s="36">
        <v>0.80073550064584242</v>
      </c>
      <c r="Y2" s="36">
        <v>0.8000391820577023</v>
      </c>
      <c r="Z2" s="36"/>
      <c r="AA2" s="56" t="s">
        <v>214</v>
      </c>
      <c r="AB2" s="36">
        <v>0.41711334421092355</v>
      </c>
      <c r="AC2" s="36">
        <v>0.36068114390188444</v>
      </c>
      <c r="AD2" s="36">
        <v>0.43228536308265625</v>
      </c>
      <c r="AE2" s="36">
        <v>163.53223057973923</v>
      </c>
      <c r="AF2" s="36">
        <v>-2.3489299464565288</v>
      </c>
      <c r="AG2" s="36">
        <v>-5.616052060102966</v>
      </c>
      <c r="AH2" s="36">
        <v>0.55082544336241646</v>
      </c>
      <c r="AI2" s="36">
        <v>1.0772603611907887</v>
      </c>
      <c r="AJ2" s="36">
        <v>0.18547129129687528</v>
      </c>
      <c r="AK2" s="36">
        <v>3.8945070314638395</v>
      </c>
      <c r="AL2" s="36">
        <v>0.36672888555737249</v>
      </c>
      <c r="AM2" s="36">
        <v>2.6772258221543717</v>
      </c>
      <c r="AN2" s="36">
        <v>0.33804868518879799</v>
      </c>
      <c r="AO2" s="36">
        <v>0.33089828049649916</v>
      </c>
      <c r="AP2" s="36">
        <v>0.36001564663444197</v>
      </c>
      <c r="AQ2" s="36">
        <v>1.3769927136202897</v>
      </c>
      <c r="AR2" s="36">
        <v>3.808867864357123</v>
      </c>
      <c r="AS2" s="36">
        <v>0.43212592436285968</v>
      </c>
      <c r="AT2" s="36">
        <v>0.32317947564986577</v>
      </c>
      <c r="AU2" s="36">
        <v>0.90196549022431061</v>
      </c>
      <c r="AV2" s="36">
        <v>0.34022514404028265</v>
      </c>
      <c r="AW2" s="36">
        <v>0.37914402010923681</v>
      </c>
      <c r="AX2" s="36">
        <v>0.40165642225096654</v>
      </c>
      <c r="AY2" s="36">
        <v>0.38602815278308567</v>
      </c>
      <c r="BA2" s="51">
        <v>22.989699999999999</v>
      </c>
      <c r="BB2" s="51">
        <v>24.305</v>
      </c>
      <c r="BC2" s="51">
        <v>26.981999999999999</v>
      </c>
      <c r="BD2" s="51">
        <v>28.0855</v>
      </c>
      <c r="BE2" s="51">
        <v>30.973759999999999</v>
      </c>
      <c r="BF2" s="51">
        <v>39.098300000000002</v>
      </c>
      <c r="BG2" s="51">
        <v>40.08</v>
      </c>
      <c r="BH2" s="51">
        <v>40.08</v>
      </c>
      <c r="BI2" s="51">
        <v>40.08</v>
      </c>
      <c r="BJ2" s="51">
        <v>54.938043</v>
      </c>
      <c r="BK2" s="51">
        <v>55.844999999999999</v>
      </c>
      <c r="BL2" s="51">
        <v>58.93</v>
      </c>
      <c r="BM2" s="51">
        <v>58.69</v>
      </c>
      <c r="BN2" s="51">
        <v>63.545999999999999</v>
      </c>
      <c r="BO2" s="51">
        <v>65.38</v>
      </c>
      <c r="BP2" s="57">
        <v>77.917309099999997</v>
      </c>
      <c r="BQ2" s="57">
        <v>81.916699399999999</v>
      </c>
      <c r="BR2" s="51">
        <v>87.6</v>
      </c>
      <c r="BS2" s="51">
        <v>95.94</v>
      </c>
      <c r="BT2" s="51">
        <v>112.41</v>
      </c>
      <c r="BU2" s="51">
        <v>207.2</v>
      </c>
      <c r="BV2" s="51">
        <v>207.2</v>
      </c>
      <c r="BW2" s="51">
        <v>207.2</v>
      </c>
    </row>
    <row r="3" spans="1:75" ht="11.25" customHeight="1" thickBot="1" x14ac:dyDescent="0.25">
      <c r="A3" s="58" t="s">
        <v>215</v>
      </c>
      <c r="B3" s="59">
        <v>2000</v>
      </c>
      <c r="C3" s="59">
        <v>2000</v>
      </c>
      <c r="D3" s="59">
        <v>2000</v>
      </c>
      <c r="E3" s="59">
        <v>10000</v>
      </c>
      <c r="F3" s="59">
        <v>10000</v>
      </c>
      <c r="G3" s="59">
        <v>10000</v>
      </c>
      <c r="H3" s="59">
        <v>2000</v>
      </c>
      <c r="I3" s="59">
        <v>2000</v>
      </c>
      <c r="J3" s="59">
        <v>2000</v>
      </c>
      <c r="K3" s="59">
        <v>2000</v>
      </c>
      <c r="L3" s="59">
        <v>2000</v>
      </c>
      <c r="M3" s="59">
        <v>2000</v>
      </c>
      <c r="N3" s="59">
        <v>2000</v>
      </c>
      <c r="O3" s="59">
        <v>2000</v>
      </c>
      <c r="P3" s="59">
        <v>2000</v>
      </c>
      <c r="Q3" s="59">
        <v>2000</v>
      </c>
      <c r="R3" s="59">
        <v>2000</v>
      </c>
      <c r="S3" s="60">
        <v>2000</v>
      </c>
      <c r="T3" s="59">
        <v>2000</v>
      </c>
      <c r="U3" s="59">
        <v>2000</v>
      </c>
      <c r="V3" s="59">
        <v>2000</v>
      </c>
      <c r="W3" s="59">
        <v>2000</v>
      </c>
      <c r="X3" s="59">
        <v>2000</v>
      </c>
      <c r="Y3" s="59">
        <v>2000</v>
      </c>
      <c r="AA3" s="62" t="s">
        <v>215</v>
      </c>
      <c r="AB3" s="63">
        <f t="shared" ref="AB3:AG4" si="0">B3/BA$2</f>
        <v>86.995480584783621</v>
      </c>
      <c r="AC3" s="63">
        <f t="shared" si="0"/>
        <v>82.287595145031887</v>
      </c>
      <c r="AD3" s="63">
        <f t="shared" si="0"/>
        <v>74.123489733896676</v>
      </c>
      <c r="AE3" s="63">
        <f t="shared" si="0"/>
        <v>356.05561588720161</v>
      </c>
      <c r="AF3" s="63">
        <f t="shared" si="0"/>
        <v>322.85392538716644</v>
      </c>
      <c r="AG3" s="63">
        <f t="shared" si="0"/>
        <v>255.76559594662683</v>
      </c>
      <c r="AH3" s="63">
        <f>H3/BH$2</f>
        <v>49.900199600798402</v>
      </c>
      <c r="AI3" s="63">
        <f>I3/BH$2</f>
        <v>49.900199600798402</v>
      </c>
      <c r="AJ3" s="63">
        <f>J3/BI$2</f>
        <v>49.900199600798402</v>
      </c>
      <c r="AK3" s="63">
        <f t="shared" ref="AK3:AY7" si="1">K3/BI$2</f>
        <v>49.900199600798402</v>
      </c>
      <c r="AL3" s="63">
        <f>L3/BJ$2</f>
        <v>36.404645866253375</v>
      </c>
      <c r="AM3" s="63">
        <f t="shared" si="1"/>
        <v>35.813412122840006</v>
      </c>
      <c r="AN3" s="63">
        <f t="shared" si="1"/>
        <v>33.938571186153062</v>
      </c>
      <c r="AO3" s="63">
        <f t="shared" si="1"/>
        <v>34.07735559720566</v>
      </c>
      <c r="AP3" s="63">
        <f t="shared" si="1"/>
        <v>31.473263462688447</v>
      </c>
      <c r="AQ3" s="63">
        <f t="shared" si="1"/>
        <v>30.590394616090549</v>
      </c>
      <c r="AR3" s="63">
        <f t="shared" si="1"/>
        <v>25.668237559810699</v>
      </c>
      <c r="AS3" s="63">
        <f t="shared" si="1"/>
        <v>24.415046195086322</v>
      </c>
      <c r="AT3" s="63">
        <f t="shared" si="1"/>
        <v>22.831050228310502</v>
      </c>
      <c r="AU3" s="63">
        <f t="shared" si="1"/>
        <v>20.846362309776943</v>
      </c>
      <c r="AV3" s="63">
        <f t="shared" si="1"/>
        <v>17.792011386887289</v>
      </c>
      <c r="AW3" s="63">
        <f t="shared" si="1"/>
        <v>9.6525096525096536</v>
      </c>
      <c r="AX3" s="63">
        <f t="shared" si="1"/>
        <v>9.6525096525096536</v>
      </c>
      <c r="AY3" s="63">
        <f t="shared" si="1"/>
        <v>9.6525096525096536</v>
      </c>
    </row>
    <row r="4" spans="1:75" x14ac:dyDescent="0.2">
      <c r="A4" s="4" t="s">
        <v>112</v>
      </c>
      <c r="B4" s="21">
        <v>226.815448412367</v>
      </c>
      <c r="C4" s="21">
        <v>65.022586498516702</v>
      </c>
      <c r="D4" s="21">
        <v>38.419262412177602</v>
      </c>
      <c r="E4" s="21">
        <v>2225.3163391888902</v>
      </c>
      <c r="F4" s="21">
        <v>4.9779823639751104</v>
      </c>
      <c r="G4" s="21">
        <v>4309.7598435250902</v>
      </c>
      <c r="H4" s="21">
        <v>435.00558557807801</v>
      </c>
      <c r="I4" s="21">
        <v>770.83079806633202</v>
      </c>
      <c r="J4" s="21">
        <v>608.42337104680803</v>
      </c>
      <c r="K4" s="21">
        <v>816.80150262943198</v>
      </c>
      <c r="L4" s="21">
        <v>1.5292568232114201</v>
      </c>
      <c r="M4" s="21">
        <v>6.6615473646674097</v>
      </c>
      <c r="N4" s="21">
        <v>1.1468017576701999E-2</v>
      </c>
      <c r="O4" s="21">
        <v>-6.5840152721890997</v>
      </c>
      <c r="P4" s="21">
        <v>0.55988407552951702</v>
      </c>
      <c r="Q4" s="21">
        <v>3.57595036331728</v>
      </c>
      <c r="R4" s="21">
        <v>-0.86713637568220603</v>
      </c>
      <c r="S4" s="21">
        <v>0.20034897901299301</v>
      </c>
      <c r="T4" s="21">
        <v>1.25409273370676</v>
      </c>
      <c r="U4" s="21">
        <v>0.73652182631335295</v>
      </c>
      <c r="V4" s="21">
        <v>5.5904050151935399E-2</v>
      </c>
      <c r="W4" s="21">
        <v>0.108560794989883</v>
      </c>
      <c r="X4" s="21">
        <v>0.109145807188025</v>
      </c>
      <c r="Y4" s="21">
        <v>0.103176675820482</v>
      </c>
      <c r="Z4" s="105" t="s">
        <v>216</v>
      </c>
      <c r="AA4" s="4" t="s">
        <v>112</v>
      </c>
      <c r="AB4" s="110">
        <f>B4/BA$2</f>
        <v>9.8659594693435331</v>
      </c>
      <c r="AC4" s="110">
        <f t="shared" si="0"/>
        <v>2.6752761365363793</v>
      </c>
      <c r="AD4" s="110">
        <f t="shared" si="0"/>
        <v>1.4238849014964645</v>
      </c>
      <c r="AE4" s="110">
        <f t="shared" si="0"/>
        <v>79.233637969375309</v>
      </c>
      <c r="AF4" s="99">
        <f t="shared" si="0"/>
        <v>0.16071611467174507</v>
      </c>
      <c r="AG4" s="110">
        <f t="shared" si="0"/>
        <v>110.22882947660359</v>
      </c>
      <c r="AH4" s="110">
        <f t="shared" ref="AH4:AK4" si="2">H4/BG$2</f>
        <v>10.853432773904142</v>
      </c>
      <c r="AI4" s="110">
        <f t="shared" si="2"/>
        <v>19.23230534097635</v>
      </c>
      <c r="AJ4" s="110">
        <f t="shared" si="2"/>
        <v>15.180223828513174</v>
      </c>
      <c r="AK4" s="110">
        <f>K4/BI$2</f>
        <v>20.37927900772036</v>
      </c>
      <c r="AL4" s="99">
        <f t="shared" si="1"/>
        <v>2.7836026543781693E-2</v>
      </c>
      <c r="AM4" s="99">
        <f t="shared" si="1"/>
        <v>0.11928637057332635</v>
      </c>
      <c r="AN4" s="99">
        <f t="shared" si="1"/>
        <v>1.9460406544547767E-4</v>
      </c>
      <c r="AO4" s="99">
        <f t="shared" si="1"/>
        <v>-0.11218291484391038</v>
      </c>
      <c r="AP4" s="99">
        <f t="shared" si="1"/>
        <v>8.8106895088521237E-3</v>
      </c>
      <c r="AQ4" s="99">
        <f t="shared" si="1"/>
        <v>5.4694866370713982E-2</v>
      </c>
      <c r="AR4" s="99">
        <f t="shared" si="1"/>
        <v>-1.1128931243882062E-2</v>
      </c>
      <c r="AS4" s="99">
        <f t="shared" si="1"/>
        <v>2.445764788870302E-3</v>
      </c>
      <c r="AT4" s="99">
        <f t="shared" si="1"/>
        <v>1.4316127097109133E-2</v>
      </c>
      <c r="AU4" s="99">
        <f t="shared" si="1"/>
        <v>7.6769004201933805E-3</v>
      </c>
      <c r="AV4" s="99">
        <f t="shared" si="1"/>
        <v>4.9732274843817636E-4</v>
      </c>
      <c r="AW4" s="99">
        <f t="shared" si="1"/>
        <v>5.2394206076198356E-4</v>
      </c>
      <c r="AX4" s="99">
        <f t="shared" si="1"/>
        <v>5.2676547870668432E-4</v>
      </c>
      <c r="AY4" s="99">
        <f t="shared" si="1"/>
        <v>4.9795692963553091E-4</v>
      </c>
    </row>
    <row r="5" spans="1:75" x14ac:dyDescent="0.2">
      <c r="A5" s="7" t="s">
        <v>95</v>
      </c>
      <c r="B5" s="22">
        <v>285.86046669795297</v>
      </c>
      <c r="C5" s="22">
        <v>415.93616154734298</v>
      </c>
      <c r="D5" s="22">
        <v>10.8853442466757</v>
      </c>
      <c r="E5" s="22">
        <v>546.83704604355898</v>
      </c>
      <c r="F5" s="22">
        <v>2.3643208648596601</v>
      </c>
      <c r="G5" s="22">
        <v>181.745380801783</v>
      </c>
      <c r="H5" s="22">
        <v>571.27315003709998</v>
      </c>
      <c r="I5" s="22">
        <v>1007.9815947627</v>
      </c>
      <c r="J5" s="22">
        <v>817.72881971569097</v>
      </c>
      <c r="K5" s="22">
        <v>1197.7764938626501</v>
      </c>
      <c r="L5" s="22">
        <v>0.219222265540754</v>
      </c>
      <c r="M5" s="22">
        <v>-4.7301137339806401</v>
      </c>
      <c r="N5" s="22">
        <v>-2.12694967712895E-2</v>
      </c>
      <c r="O5" s="22">
        <v>-6.5184003544895397</v>
      </c>
      <c r="P5" s="22">
        <v>0.192056344566257</v>
      </c>
      <c r="Q5" s="22">
        <v>2.5008175457629802</v>
      </c>
      <c r="R5" s="22">
        <v>-1.81440283081833</v>
      </c>
      <c r="S5" s="22">
        <v>0.104484838830452</v>
      </c>
      <c r="T5" s="22">
        <v>1.7699830661225</v>
      </c>
      <c r="U5" s="22">
        <v>0.27492440070378099</v>
      </c>
      <c r="V5" s="22">
        <v>1.56088533291233E-2</v>
      </c>
      <c r="W5" s="22">
        <v>3.8035797695028198E-2</v>
      </c>
      <c r="X5" s="22">
        <v>3.8370396866478099E-2</v>
      </c>
      <c r="Y5" s="22">
        <v>3.6263514890769802E-2</v>
      </c>
      <c r="Z5" s="106"/>
      <c r="AA5" s="7" t="s">
        <v>95</v>
      </c>
      <c r="AB5" s="110">
        <f>B5/BA$2</f>
        <v>12.434284340289476</v>
      </c>
      <c r="AC5" s="110">
        <f t="shared" ref="AC5:AC7" si="3">C5/BB$2</f>
        <v>17.113193233793169</v>
      </c>
      <c r="AD5" s="99">
        <f t="shared" ref="AD5:AD7" si="4">D5/BC$2</f>
        <v>0.40342985125919872</v>
      </c>
      <c r="AE5" s="110">
        <f t="shared" ref="AE5:AE7" si="5">E5/BD$2</f>
        <v>19.470440121897742</v>
      </c>
      <c r="AF5" s="99">
        <f t="shared" ref="AF5:AF7" si="6">F5/BE$2</f>
        <v>7.633302720947216E-2</v>
      </c>
      <c r="AG5" s="110">
        <f t="shared" ref="AG5:AG7" si="7">G5/BF$2</f>
        <v>4.6484215631314658</v>
      </c>
      <c r="AH5" s="110">
        <f t="shared" ref="AH5:AH7" si="8">H5/BG$2</f>
        <v>14.253322106714071</v>
      </c>
      <c r="AI5" s="110">
        <f t="shared" ref="AI5:AK7" si="9">I5/BH$2</f>
        <v>25.149241386294911</v>
      </c>
      <c r="AJ5" s="110">
        <f t="shared" si="9"/>
        <v>20.402415661569137</v>
      </c>
      <c r="AK5" s="110">
        <f t="shared" ref="AK5:AK7" si="10">K5/BI$2</f>
        <v>29.884643060445363</v>
      </c>
      <c r="AL5" s="99">
        <f t="shared" si="1"/>
        <v>3.9903544715044542E-3</v>
      </c>
      <c r="AM5" s="99">
        <f t="shared" si="1"/>
        <v>-8.4700756271477121E-2</v>
      </c>
      <c r="AN5" s="99">
        <f t="shared" si="1"/>
        <v>-3.6092816513303073E-4</v>
      </c>
      <c r="AO5" s="99">
        <f t="shared" si="1"/>
        <v>-0.11106492340244573</v>
      </c>
      <c r="AP5" s="99">
        <f t="shared" si="1"/>
        <v>3.0223199661073398E-3</v>
      </c>
      <c r="AQ5" s="99">
        <f t="shared" si="1"/>
        <v>3.8250497793866328E-2</v>
      </c>
      <c r="AR5" s="99">
        <f t="shared" si="1"/>
        <v>-2.3286261445318958E-2</v>
      </c>
      <c r="AS5" s="99">
        <f t="shared" si="1"/>
        <v>1.2755010833658174E-3</v>
      </c>
      <c r="AT5" s="99">
        <f t="shared" si="1"/>
        <v>2.0205286142950914E-2</v>
      </c>
      <c r="AU5" s="99">
        <f t="shared" si="1"/>
        <v>2.8655868324346571E-3</v>
      </c>
      <c r="AV5" s="99">
        <f t="shared" si="1"/>
        <v>1.3885644808400767E-4</v>
      </c>
      <c r="AW5" s="99">
        <f t="shared" si="1"/>
        <v>1.8357045219608204E-4</v>
      </c>
      <c r="AX5" s="99">
        <f t="shared" si="1"/>
        <v>1.8518531306215301E-4</v>
      </c>
      <c r="AY5" s="99">
        <f t="shared" si="1"/>
        <v>1.7501696375854151E-4</v>
      </c>
    </row>
    <row r="6" spans="1:75" ht="12.75" customHeight="1" x14ac:dyDescent="0.2">
      <c r="A6" s="4" t="s">
        <v>146</v>
      </c>
      <c r="B6" s="21">
        <v>275.99760927415502</v>
      </c>
      <c r="C6" s="21">
        <v>357.698929480441</v>
      </c>
      <c r="D6" s="21">
        <v>10.79673328775</v>
      </c>
      <c r="E6" s="21">
        <v>519.83902826249096</v>
      </c>
      <c r="F6" s="21">
        <v>3.8926441230862698</v>
      </c>
      <c r="G6" s="21">
        <v>265.92944870391199</v>
      </c>
      <c r="H6" s="21">
        <v>536.70611411807795</v>
      </c>
      <c r="I6" s="21">
        <v>985.59323505107898</v>
      </c>
      <c r="J6" s="21">
        <v>766.65190459957296</v>
      </c>
      <c r="K6" s="21">
        <v>1130.8011702896299</v>
      </c>
      <c r="L6" s="21">
        <v>0.20666051132945901</v>
      </c>
      <c r="M6" s="21">
        <v>-2.5773995162530801</v>
      </c>
      <c r="N6" s="21">
        <v>-1.4626483261342501E-2</v>
      </c>
      <c r="O6" s="21">
        <v>-6.54530163172823</v>
      </c>
      <c r="P6" s="21">
        <v>0.15357978763918001</v>
      </c>
      <c r="Q6" s="21">
        <v>3.12784678092099</v>
      </c>
      <c r="R6" s="21">
        <v>-0.73733758497963897</v>
      </c>
      <c r="S6" s="21">
        <v>0.15660588508823001</v>
      </c>
      <c r="T6" s="21">
        <v>2.48021955615447</v>
      </c>
      <c r="U6" s="21">
        <v>0.148708622690814</v>
      </c>
      <c r="V6" s="21">
        <v>2.39223119107283E-2</v>
      </c>
      <c r="W6" s="21">
        <v>3.8833547050158602E-2</v>
      </c>
      <c r="X6" s="21">
        <v>3.9426167779356099E-2</v>
      </c>
      <c r="Y6" s="21">
        <v>4.2071695962124199E-2</v>
      </c>
      <c r="Z6" s="106"/>
      <c r="AA6" s="4" t="s">
        <v>146</v>
      </c>
      <c r="AB6" s="110">
        <f t="shared" ref="AB5:AB7" si="11">B6/BA$2</f>
        <v>12.005272329528225</v>
      </c>
      <c r="AC6" s="110">
        <f t="shared" si="3"/>
        <v>14.71709234644892</v>
      </c>
      <c r="AD6" s="99">
        <f t="shared" si="4"/>
        <v>0.40014577450707878</v>
      </c>
      <c r="AE6" s="110">
        <f t="shared" si="5"/>
        <v>18.509160537020559</v>
      </c>
      <c r="AF6" s="99">
        <f t="shared" si="6"/>
        <v>0.12567554352736865</v>
      </c>
      <c r="AG6" s="110">
        <f t="shared" si="7"/>
        <v>6.8015603927513979</v>
      </c>
      <c r="AH6" s="110">
        <f t="shared" si="8"/>
        <v>13.390871110730489</v>
      </c>
      <c r="AI6" s="110">
        <f t="shared" si="9"/>
        <v>24.590649577122729</v>
      </c>
      <c r="AJ6" s="110">
        <f t="shared" si="9"/>
        <v>19.128041531925472</v>
      </c>
      <c r="AK6" s="110">
        <f t="shared" si="10"/>
        <v>28.21360205313448</v>
      </c>
      <c r="AL6" s="99">
        <f t="shared" si="1"/>
        <v>3.7617013647438988E-3</v>
      </c>
      <c r="AM6" s="99">
        <f t="shared" si="1"/>
        <v>-4.6152735540390011E-2</v>
      </c>
      <c r="AN6" s="99">
        <f t="shared" si="1"/>
        <v>-2.4820097168407436E-4</v>
      </c>
      <c r="AO6" s="99">
        <f t="shared" si="1"/>
        <v>-0.11152328559768666</v>
      </c>
      <c r="AP6" s="99">
        <f t="shared" si="1"/>
        <v>2.4168285594558274E-3</v>
      </c>
      <c r="AQ6" s="99">
        <f t="shared" si="1"/>
        <v>4.7841033663520806E-2</v>
      </c>
      <c r="AR6" s="99">
        <f t="shared" si="1"/>
        <v>-9.4630781465172408E-3</v>
      </c>
      <c r="AS6" s="99">
        <f t="shared" si="1"/>
        <v>1.911769959425758E-3</v>
      </c>
      <c r="AT6" s="99">
        <f t="shared" si="1"/>
        <v>2.8313008631900345E-2</v>
      </c>
      <c r="AU6" s="99">
        <f t="shared" si="1"/>
        <v>1.5500169136003128E-3</v>
      </c>
      <c r="AV6" s="99">
        <f t="shared" si="1"/>
        <v>2.1281302295817365E-4</v>
      </c>
      <c r="AW6" s="99">
        <f t="shared" si="1"/>
        <v>1.8742059387142184E-4</v>
      </c>
      <c r="AX6" s="99">
        <f t="shared" si="1"/>
        <v>1.902807325258499E-4</v>
      </c>
      <c r="AY6" s="99">
        <f t="shared" si="1"/>
        <v>2.0304872568592761E-4</v>
      </c>
    </row>
    <row r="7" spans="1:75" x14ac:dyDescent="0.2">
      <c r="A7" s="7" t="s">
        <v>113</v>
      </c>
      <c r="B7" s="22">
        <v>986.95180151341401</v>
      </c>
      <c r="C7" s="22">
        <v>307.01666461498502</v>
      </c>
      <c r="D7" s="22">
        <v>22.8917198377275</v>
      </c>
      <c r="E7" s="22">
        <v>499.13390176894001</v>
      </c>
      <c r="F7" s="22">
        <v>44.4158921564349</v>
      </c>
      <c r="G7" s="22">
        <v>499.39773162127102</v>
      </c>
      <c r="H7" s="22">
        <v>679.77889377879899</v>
      </c>
      <c r="I7" s="22">
        <v>1165.17367276763</v>
      </c>
      <c r="J7" s="22">
        <v>970.16467439757901</v>
      </c>
      <c r="K7" s="22">
        <v>1466.3451147483099</v>
      </c>
      <c r="L7" s="22">
        <v>7.1341662128649102</v>
      </c>
      <c r="M7" s="22">
        <v>48.451469178419401</v>
      </c>
      <c r="N7" s="22">
        <v>-1.15251026539019E-2</v>
      </c>
      <c r="O7" s="22">
        <v>-6.0248835053127596</v>
      </c>
      <c r="P7" s="22">
        <v>0.64131632431665897</v>
      </c>
      <c r="Q7" s="22">
        <v>3.2529404753438498</v>
      </c>
      <c r="R7" s="22">
        <v>-4.7916424817429704</v>
      </c>
      <c r="S7" s="22">
        <v>7.7608349809964394E-2</v>
      </c>
      <c r="T7" s="22">
        <v>7.0589386074479004</v>
      </c>
      <c r="U7" s="22">
        <v>0.160162919411693</v>
      </c>
      <c r="V7" s="22">
        <v>0.113676206950704</v>
      </c>
      <c r="W7" s="22">
        <v>0.102082386143758</v>
      </c>
      <c r="X7" s="22">
        <v>9.3344578338452999E-2</v>
      </c>
      <c r="Y7" s="22">
        <v>8.5173605538066993E-2</v>
      </c>
      <c r="Z7" s="106"/>
      <c r="AA7" s="7" t="s">
        <v>113</v>
      </c>
      <c r="AB7" s="110">
        <f t="shared" si="11"/>
        <v>42.930173143338713</v>
      </c>
      <c r="AC7" s="110">
        <f t="shared" si="3"/>
        <v>12.631831500307962</v>
      </c>
      <c r="AD7" s="99">
        <f t="shared" si="4"/>
        <v>0.84840708019151656</v>
      </c>
      <c r="AE7" s="110">
        <f t="shared" si="5"/>
        <v>17.77194288045219</v>
      </c>
      <c r="AF7" s="110">
        <f t="shared" si="6"/>
        <v>1.4339845132278064</v>
      </c>
      <c r="AG7" s="110">
        <f t="shared" si="7"/>
        <v>12.772875844250798</v>
      </c>
      <c r="AH7" s="110">
        <f t="shared" si="8"/>
        <v>16.960551241986003</v>
      </c>
      <c r="AI7" s="110">
        <f t="shared" si="9"/>
        <v>29.071199420350052</v>
      </c>
      <c r="AJ7" s="110">
        <f t="shared" si="9"/>
        <v>24.205705449041393</v>
      </c>
      <c r="AK7" s="110">
        <f t="shared" si="10"/>
        <v>36.585456954798154</v>
      </c>
      <c r="AL7" s="99">
        <f t="shared" si="1"/>
        <v>0.12985839726516851</v>
      </c>
      <c r="AM7" s="99">
        <f t="shared" si="1"/>
        <v>0.86760621682190708</v>
      </c>
      <c r="AN7" s="99">
        <f t="shared" si="1"/>
        <v>-1.955727584235856E-4</v>
      </c>
      <c r="AO7" s="99">
        <f t="shared" si="1"/>
        <v>-0.10265604882114091</v>
      </c>
      <c r="AP7" s="99">
        <f t="shared" si="1"/>
        <v>1.0092158819070579E-2</v>
      </c>
      <c r="AQ7" s="99">
        <f t="shared" si="1"/>
        <v>4.975436640171077E-2</v>
      </c>
      <c r="AR7" s="99">
        <f t="shared" si="1"/>
        <v>-6.1496508761529733E-2</v>
      </c>
      <c r="AS7" s="99">
        <f t="shared" si="1"/>
        <v>9.4740572286734976E-4</v>
      </c>
      <c r="AT7" s="99">
        <f t="shared" si="1"/>
        <v>8.0581490952601614E-2</v>
      </c>
      <c r="AU7" s="99">
        <f t="shared" si="1"/>
        <v>1.6694071233238795E-3</v>
      </c>
      <c r="AV7" s="99">
        <f t="shared" si="1"/>
        <v>1.0112641842425407E-3</v>
      </c>
      <c r="AW7" s="99">
        <f t="shared" si="1"/>
        <v>4.9267560880192091E-4</v>
      </c>
      <c r="AX7" s="99">
        <f t="shared" si="1"/>
        <v>4.5050472171068054E-4</v>
      </c>
      <c r="AY7" s="99">
        <f t="shared" si="1"/>
        <v>4.1106952479762063E-4</v>
      </c>
    </row>
    <row r="8" spans="1:75" x14ac:dyDescent="0.2">
      <c r="Z8" s="106"/>
      <c r="AA8" s="65"/>
      <c r="AB8" s="66"/>
      <c r="AC8" s="66"/>
      <c r="AD8" s="66"/>
      <c r="AE8" s="66"/>
      <c r="AF8" s="66"/>
      <c r="AG8" s="66"/>
      <c r="AH8" s="64"/>
      <c r="AI8" s="66"/>
      <c r="AJ8" s="64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</row>
    <row r="9" spans="1:75" x14ac:dyDescent="0.2">
      <c r="Z9" s="106"/>
      <c r="AA9" s="65"/>
      <c r="AB9" s="66"/>
      <c r="AC9" s="66"/>
      <c r="AD9" s="66"/>
      <c r="AE9" s="66"/>
      <c r="AF9" s="66"/>
      <c r="AG9" s="66"/>
      <c r="AH9" s="64"/>
      <c r="AI9" s="66"/>
      <c r="AJ9" s="64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</row>
    <row r="10" spans="1:75" x14ac:dyDescent="0.2">
      <c r="Z10" s="106"/>
      <c r="AA10" s="65"/>
      <c r="AB10" s="66"/>
      <c r="AC10" s="66"/>
      <c r="AD10" s="66"/>
      <c r="AE10" s="66"/>
      <c r="AF10" s="66"/>
      <c r="AG10" s="66"/>
      <c r="AH10" s="64"/>
      <c r="AI10" s="66"/>
      <c r="AJ10" s="64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</row>
    <row r="11" spans="1:75" x14ac:dyDescent="0.2">
      <c r="Z11" s="106"/>
      <c r="AA11" s="65"/>
      <c r="AB11" s="66"/>
      <c r="AC11" s="66"/>
      <c r="AD11" s="66"/>
      <c r="AE11" s="66"/>
      <c r="AF11" s="66"/>
      <c r="AG11" s="66"/>
      <c r="AH11" s="64"/>
      <c r="AI11" s="66"/>
      <c r="AJ11" s="64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</row>
    <row r="12" spans="1:75" s="67" customFormat="1" x14ac:dyDescent="0.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06"/>
      <c r="AA12" s="65"/>
      <c r="AB12" s="66"/>
      <c r="AC12" s="66"/>
      <c r="AD12" s="66"/>
      <c r="AE12" s="66"/>
      <c r="AF12" s="66"/>
      <c r="AG12" s="66"/>
      <c r="AH12" s="64"/>
      <c r="AI12" s="66"/>
      <c r="AJ12" s="64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</row>
    <row r="13" spans="1:75" ht="13.5" thickBot="1" x14ac:dyDescent="0.25">
      <c r="Z13" s="107"/>
      <c r="AA13" s="68"/>
      <c r="AB13" s="69"/>
      <c r="AC13" s="69"/>
      <c r="AD13" s="69"/>
      <c r="AE13" s="69"/>
      <c r="AF13" s="69"/>
      <c r="AG13" s="69"/>
      <c r="AH13" s="70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</row>
    <row r="14" spans="1:75" x14ac:dyDescent="0.2">
      <c r="Z14" s="51"/>
      <c r="AA14" s="71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</row>
    <row r="15" spans="1:75" x14ac:dyDescent="0.2">
      <c r="Z15" s="51"/>
      <c r="AA15" s="72"/>
      <c r="AB15" s="66"/>
      <c r="AC15" s="66"/>
      <c r="AD15" s="66"/>
      <c r="AE15" s="66"/>
      <c r="AF15" s="66"/>
      <c r="AG15" s="66"/>
      <c r="AH15" s="64"/>
      <c r="AI15" s="66"/>
      <c r="AJ15" s="64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</row>
    <row r="16" spans="1:75" x14ac:dyDescent="0.2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51"/>
      <c r="AA16" s="72"/>
      <c r="AB16" s="66"/>
      <c r="AC16" s="66"/>
      <c r="AD16" s="66"/>
      <c r="AE16" s="66"/>
      <c r="AF16" s="66"/>
      <c r="AG16" s="66"/>
      <c r="AH16" s="64"/>
      <c r="AI16" s="66"/>
      <c r="AJ16" s="64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</row>
    <row r="17" spans="1:51" x14ac:dyDescent="0.2">
      <c r="Z17" s="51"/>
      <c r="AA17" s="72"/>
      <c r="AB17" s="66"/>
      <c r="AC17" s="66"/>
      <c r="AD17" s="66"/>
      <c r="AE17" s="66"/>
      <c r="AF17" s="66"/>
      <c r="AG17" s="66"/>
      <c r="AH17" s="64"/>
      <c r="AI17" s="66"/>
      <c r="AJ17" s="64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</row>
    <row r="18" spans="1:51" x14ac:dyDescent="0.2">
      <c r="Z18" s="51"/>
      <c r="AA18" s="72"/>
      <c r="AB18" s="66"/>
      <c r="AC18" s="66"/>
      <c r="AD18" s="66"/>
      <c r="AE18" s="66"/>
      <c r="AF18" s="66"/>
      <c r="AG18" s="66"/>
      <c r="AH18" s="64"/>
      <c r="AI18" s="66"/>
      <c r="AJ18" s="64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</row>
    <row r="19" spans="1:51" x14ac:dyDescent="0.2">
      <c r="Z19" s="51"/>
      <c r="AA19" s="72"/>
      <c r="AB19" s="66"/>
      <c r="AC19" s="66"/>
      <c r="AD19" s="66"/>
      <c r="AE19" s="66"/>
      <c r="AF19" s="66"/>
      <c r="AG19" s="66"/>
      <c r="AH19" s="64"/>
      <c r="AI19" s="66"/>
      <c r="AJ19" s="64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</row>
    <row r="20" spans="1:51" x14ac:dyDescent="0.2">
      <c r="Z20" s="51"/>
      <c r="AA20" s="72"/>
      <c r="AB20" s="66"/>
      <c r="AC20" s="66"/>
      <c r="AD20" s="66"/>
      <c r="AE20" s="66"/>
      <c r="AF20" s="66"/>
      <c r="AG20" s="66"/>
      <c r="AH20" s="64"/>
      <c r="AI20" s="66"/>
      <c r="AJ20" s="64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</row>
    <row r="21" spans="1:51" x14ac:dyDescent="0.2">
      <c r="Z21" s="51"/>
      <c r="AA21" s="72"/>
      <c r="AB21" s="66"/>
      <c r="AC21" s="66"/>
      <c r="AD21" s="66"/>
      <c r="AE21" s="66"/>
      <c r="AF21" s="66"/>
      <c r="AG21" s="66"/>
      <c r="AH21" s="64"/>
      <c r="AI21" s="66"/>
      <c r="AJ21" s="64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</row>
    <row r="22" spans="1:51" s="67" customFormat="1" x14ac:dyDescent="0.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72"/>
      <c r="AB22" s="66"/>
      <c r="AC22" s="66"/>
      <c r="AD22" s="66"/>
      <c r="AE22" s="66"/>
      <c r="AF22" s="66"/>
      <c r="AG22" s="66"/>
      <c r="AH22" s="64"/>
      <c r="AI22" s="66"/>
      <c r="AJ22" s="64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</row>
    <row r="23" spans="1:51" x14ac:dyDescent="0.2">
      <c r="Z23" s="67"/>
      <c r="AA23" s="73"/>
      <c r="AB23" s="69"/>
      <c r="AC23" s="69"/>
      <c r="AD23" s="69"/>
      <c r="AE23" s="69"/>
      <c r="AF23" s="69"/>
      <c r="AG23" s="69"/>
      <c r="AH23" s="70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</row>
    <row r="24" spans="1:51" x14ac:dyDescent="0.2">
      <c r="Z24" s="51"/>
      <c r="AA24" s="71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</row>
    <row r="25" spans="1:51" x14ac:dyDescent="0.2">
      <c r="Z25" s="51"/>
      <c r="AA25" s="72"/>
      <c r="AB25" s="66"/>
      <c r="AC25" s="66"/>
      <c r="AD25" s="66"/>
      <c r="AE25" s="66"/>
      <c r="AF25" s="66"/>
      <c r="AG25" s="66"/>
      <c r="AH25" s="64"/>
      <c r="AI25" s="66"/>
      <c r="AJ25" s="64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</row>
    <row r="26" spans="1:51" x14ac:dyDescent="0.2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51"/>
      <c r="AA26" s="72"/>
      <c r="AB26" s="66"/>
      <c r="AC26" s="66"/>
      <c r="AD26" s="66"/>
      <c r="AE26" s="66"/>
      <c r="AF26" s="66"/>
      <c r="AG26" s="66"/>
      <c r="AH26" s="64"/>
      <c r="AI26" s="66"/>
      <c r="AJ26" s="64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</row>
    <row r="27" spans="1:51" x14ac:dyDescent="0.2">
      <c r="Z27" s="51"/>
      <c r="AA27" s="72"/>
      <c r="AB27" s="66"/>
      <c r="AC27" s="66"/>
      <c r="AD27" s="66"/>
      <c r="AE27" s="66"/>
      <c r="AF27" s="66"/>
      <c r="AG27" s="66"/>
      <c r="AH27" s="64"/>
      <c r="AI27" s="66"/>
      <c r="AJ27" s="64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</row>
    <row r="28" spans="1:51" x14ac:dyDescent="0.2">
      <c r="Z28" s="51"/>
      <c r="AA28" s="72"/>
      <c r="AB28" s="66"/>
      <c r="AC28" s="66"/>
      <c r="AD28" s="66"/>
      <c r="AE28" s="66"/>
      <c r="AF28" s="66"/>
      <c r="AG28" s="66"/>
      <c r="AH28" s="64"/>
      <c r="AI28" s="66"/>
      <c r="AJ28" s="64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</row>
    <row r="29" spans="1:51" x14ac:dyDescent="0.2">
      <c r="Z29" s="51"/>
      <c r="AA29" s="72"/>
      <c r="AB29" s="66"/>
      <c r="AC29" s="66"/>
      <c r="AD29" s="66"/>
      <c r="AE29" s="66"/>
      <c r="AF29" s="66"/>
      <c r="AG29" s="66"/>
      <c r="AH29" s="64"/>
      <c r="AI29" s="66"/>
      <c r="AJ29" s="64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</row>
    <row r="30" spans="1:51" x14ac:dyDescent="0.2">
      <c r="Z30" s="51"/>
      <c r="AA30" s="72"/>
      <c r="AB30" s="66"/>
      <c r="AC30" s="66"/>
      <c r="AD30" s="66"/>
      <c r="AE30" s="66"/>
      <c r="AF30" s="66"/>
      <c r="AG30" s="66"/>
      <c r="AH30" s="64"/>
      <c r="AI30" s="66"/>
      <c r="AJ30" s="64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</row>
    <row r="31" spans="1:51" x14ac:dyDescent="0.2">
      <c r="Z31" s="51"/>
      <c r="AA31" s="72"/>
      <c r="AB31" s="66"/>
      <c r="AC31" s="66"/>
      <c r="AD31" s="66"/>
      <c r="AE31" s="66"/>
      <c r="AF31" s="66"/>
      <c r="AG31" s="66"/>
      <c r="AH31" s="64"/>
      <c r="AI31" s="66"/>
      <c r="AJ31" s="64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</row>
    <row r="32" spans="1:51" s="67" customFormat="1" x14ac:dyDescent="0.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72"/>
      <c r="AB32" s="66"/>
      <c r="AC32" s="66"/>
      <c r="AD32" s="66"/>
      <c r="AE32" s="66"/>
      <c r="AF32" s="66"/>
      <c r="AG32" s="66"/>
      <c r="AH32" s="64"/>
      <c r="AI32" s="66"/>
      <c r="AJ32" s="64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</row>
    <row r="33" spans="1:51" x14ac:dyDescent="0.2">
      <c r="Z33" s="67"/>
      <c r="AA33" s="73"/>
      <c r="AB33" s="69"/>
      <c r="AC33" s="69"/>
      <c r="AD33" s="69"/>
      <c r="AE33" s="69"/>
      <c r="AF33" s="69"/>
      <c r="AG33" s="69"/>
      <c r="AH33" s="70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</row>
    <row r="34" spans="1:51" x14ac:dyDescent="0.2">
      <c r="Z34" s="51"/>
      <c r="AA34" s="71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</row>
    <row r="35" spans="1:51" x14ac:dyDescent="0.2">
      <c r="Z35" s="51"/>
      <c r="AA35" s="72"/>
      <c r="AB35" s="66"/>
      <c r="AC35" s="66"/>
      <c r="AD35" s="66"/>
      <c r="AE35" s="66"/>
      <c r="AF35" s="66"/>
      <c r="AG35" s="66"/>
      <c r="AH35" s="64"/>
      <c r="AI35" s="66"/>
      <c r="AJ35" s="64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</row>
    <row r="36" spans="1:51" x14ac:dyDescent="0.2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51"/>
      <c r="AA36" s="72"/>
      <c r="AB36" s="66"/>
      <c r="AC36" s="66"/>
      <c r="AD36" s="66"/>
      <c r="AE36" s="66"/>
      <c r="AF36" s="66"/>
      <c r="AG36" s="66"/>
      <c r="AH36" s="64"/>
      <c r="AI36" s="66"/>
      <c r="AJ36" s="64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</row>
    <row r="37" spans="1:51" x14ac:dyDescent="0.2">
      <c r="Z37" s="51"/>
      <c r="AA37" s="72"/>
      <c r="AB37" s="66"/>
      <c r="AC37" s="66"/>
      <c r="AD37" s="66"/>
      <c r="AE37" s="66"/>
      <c r="AF37" s="66"/>
      <c r="AG37" s="66"/>
      <c r="AH37" s="64"/>
      <c r="AI37" s="66"/>
      <c r="AJ37" s="64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</row>
    <row r="38" spans="1:51" x14ac:dyDescent="0.2">
      <c r="Z38" s="51"/>
      <c r="AA38" s="72"/>
      <c r="AB38" s="66"/>
      <c r="AC38" s="66"/>
      <c r="AD38" s="66"/>
      <c r="AE38" s="66"/>
      <c r="AF38" s="66"/>
      <c r="AG38" s="66"/>
      <c r="AH38" s="64"/>
      <c r="AI38" s="66"/>
      <c r="AJ38" s="64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</row>
    <row r="39" spans="1:51" x14ac:dyDescent="0.2">
      <c r="Z39" s="51"/>
      <c r="AA39" s="72"/>
      <c r="AB39" s="66"/>
      <c r="AC39" s="66"/>
      <c r="AD39" s="66"/>
      <c r="AE39" s="66"/>
      <c r="AF39" s="66"/>
      <c r="AG39" s="66"/>
      <c r="AH39" s="64"/>
      <c r="AI39" s="66"/>
      <c r="AJ39" s="64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</row>
    <row r="40" spans="1:51" x14ac:dyDescent="0.2">
      <c r="Z40" s="51"/>
      <c r="AA40" s="72"/>
      <c r="AB40" s="66"/>
      <c r="AC40" s="66"/>
      <c r="AD40" s="66"/>
      <c r="AE40" s="66"/>
      <c r="AF40" s="66"/>
      <c r="AG40" s="66"/>
      <c r="AH40" s="64"/>
      <c r="AI40" s="66"/>
      <c r="AJ40" s="64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</row>
    <row r="41" spans="1:51" x14ac:dyDescent="0.2">
      <c r="Z41" s="51"/>
      <c r="AA41" s="72"/>
      <c r="AB41" s="66"/>
      <c r="AC41" s="66"/>
      <c r="AD41" s="66"/>
      <c r="AE41" s="66"/>
      <c r="AF41" s="66"/>
      <c r="AG41" s="66"/>
      <c r="AH41" s="64"/>
      <c r="AI41" s="66"/>
      <c r="AJ41" s="64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</row>
    <row r="42" spans="1:51" s="67" customFormat="1" x14ac:dyDescent="0.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72"/>
      <c r="AB42" s="66"/>
      <c r="AC42" s="66"/>
      <c r="AD42" s="66"/>
      <c r="AE42" s="66"/>
      <c r="AF42" s="66"/>
      <c r="AG42" s="66"/>
      <c r="AH42" s="64"/>
      <c r="AI42" s="66"/>
      <c r="AJ42" s="64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</row>
    <row r="43" spans="1:51" x14ac:dyDescent="0.2">
      <c r="Z43" s="67"/>
      <c r="AA43" s="73"/>
      <c r="AB43" s="69"/>
      <c r="AC43" s="69"/>
      <c r="AD43" s="69"/>
      <c r="AE43" s="69"/>
      <c r="AF43" s="69"/>
      <c r="AG43" s="69"/>
      <c r="AH43" s="70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</row>
    <row r="44" spans="1:51" x14ac:dyDescent="0.2">
      <c r="Z44" s="51"/>
      <c r="AA44" s="71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</row>
    <row r="45" spans="1:51" x14ac:dyDescent="0.2">
      <c r="Z45" s="51"/>
      <c r="AA45" s="72"/>
      <c r="AB45" s="66"/>
      <c r="AC45" s="66"/>
      <c r="AD45" s="66"/>
      <c r="AE45" s="66"/>
      <c r="AF45" s="66"/>
      <c r="AG45" s="66"/>
      <c r="AH45" s="64"/>
      <c r="AI45" s="66"/>
      <c r="AJ45" s="64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</row>
    <row r="46" spans="1:51" x14ac:dyDescent="0.2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51"/>
      <c r="AA46" s="72"/>
      <c r="AB46" s="66"/>
      <c r="AC46" s="66"/>
      <c r="AD46" s="66"/>
      <c r="AE46" s="66"/>
      <c r="AF46" s="66"/>
      <c r="AG46" s="66"/>
      <c r="AH46" s="64"/>
      <c r="AI46" s="66"/>
      <c r="AJ46" s="64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</row>
    <row r="47" spans="1:51" x14ac:dyDescent="0.2">
      <c r="Z47" s="51"/>
      <c r="AA47" s="72"/>
      <c r="AB47" s="66"/>
      <c r="AC47" s="66"/>
      <c r="AD47" s="66"/>
      <c r="AE47" s="66"/>
      <c r="AF47" s="66"/>
      <c r="AG47" s="66"/>
      <c r="AH47" s="64"/>
      <c r="AI47" s="66"/>
      <c r="AJ47" s="64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</row>
    <row r="48" spans="1:51" x14ac:dyDescent="0.2">
      <c r="Z48" s="51"/>
      <c r="AA48" s="72"/>
      <c r="AB48" s="66"/>
      <c r="AC48" s="66"/>
      <c r="AD48" s="66"/>
      <c r="AE48" s="66"/>
      <c r="AF48" s="66"/>
      <c r="AG48" s="66"/>
      <c r="AH48" s="64"/>
      <c r="AI48" s="66"/>
      <c r="AJ48" s="64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</row>
    <row r="49" spans="1:51" x14ac:dyDescent="0.2">
      <c r="Z49" s="74"/>
      <c r="AA49" s="72"/>
      <c r="AB49" s="66"/>
      <c r="AC49" s="66"/>
      <c r="AD49" s="66"/>
      <c r="AE49" s="66"/>
      <c r="AF49" s="66"/>
      <c r="AG49" s="66"/>
      <c r="AH49" s="64"/>
      <c r="AI49" s="66"/>
      <c r="AJ49" s="64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</row>
    <row r="50" spans="1:51" x14ac:dyDescent="0.2">
      <c r="Z50" s="74"/>
      <c r="AA50" s="72"/>
      <c r="AB50" s="66"/>
      <c r="AC50" s="66"/>
      <c r="AD50" s="66"/>
      <c r="AE50" s="66"/>
      <c r="AF50" s="66"/>
      <c r="AG50" s="66"/>
      <c r="AH50" s="64"/>
      <c r="AI50" s="66"/>
      <c r="AJ50" s="64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</row>
    <row r="51" spans="1:51" x14ac:dyDescent="0.2">
      <c r="Z51" s="74"/>
      <c r="AA51" s="72"/>
      <c r="AB51" s="66"/>
      <c r="AC51" s="66"/>
      <c r="AD51" s="66"/>
      <c r="AE51" s="66"/>
      <c r="AF51" s="66"/>
      <c r="AG51" s="66"/>
      <c r="AH51" s="64"/>
      <c r="AI51" s="66"/>
      <c r="AJ51" s="64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</row>
    <row r="52" spans="1:51" s="67" customForma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74"/>
      <c r="AA52" s="72"/>
      <c r="AB52" s="66"/>
      <c r="AC52" s="66"/>
      <c r="AD52" s="66"/>
      <c r="AE52" s="66"/>
      <c r="AF52" s="66"/>
      <c r="AG52" s="66"/>
      <c r="AH52" s="64"/>
      <c r="AI52" s="66"/>
      <c r="AJ52" s="64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</row>
    <row r="53" spans="1:51" x14ac:dyDescent="0.2">
      <c r="Z53" s="75"/>
      <c r="AA53" s="73"/>
      <c r="AB53" s="69"/>
      <c r="AC53" s="69"/>
      <c r="AD53" s="69"/>
      <c r="AE53" s="69"/>
      <c r="AF53" s="69"/>
      <c r="AG53" s="69"/>
      <c r="AH53" s="70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</row>
    <row r="54" spans="1:51" x14ac:dyDescent="0.2">
      <c r="Z54" s="74"/>
      <c r="AA54" s="71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</row>
    <row r="55" spans="1:51" x14ac:dyDescent="0.2">
      <c r="Z55" s="74"/>
      <c r="AA55" s="72"/>
      <c r="AB55" s="66"/>
      <c r="AC55" s="66"/>
      <c r="AD55" s="66"/>
      <c r="AE55" s="66"/>
      <c r="AF55" s="66"/>
      <c r="AG55" s="66"/>
      <c r="AH55" s="64"/>
      <c r="AI55" s="66"/>
      <c r="AJ55" s="64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</row>
    <row r="56" spans="1:51" x14ac:dyDescent="0.2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74"/>
      <c r="AA56" s="72"/>
      <c r="AB56" s="66"/>
      <c r="AC56" s="66"/>
      <c r="AD56" s="66"/>
      <c r="AE56" s="66"/>
      <c r="AF56" s="66"/>
      <c r="AG56" s="66"/>
      <c r="AH56" s="64"/>
      <c r="AI56" s="66"/>
      <c r="AJ56" s="64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</row>
    <row r="57" spans="1:51" x14ac:dyDescent="0.2">
      <c r="Z57" s="74"/>
      <c r="AA57" s="72"/>
      <c r="AB57" s="66"/>
      <c r="AC57" s="66"/>
      <c r="AD57" s="66"/>
      <c r="AE57" s="66"/>
      <c r="AF57" s="66"/>
      <c r="AG57" s="66"/>
      <c r="AH57" s="64"/>
      <c r="AI57" s="66"/>
      <c r="AJ57" s="64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</row>
    <row r="58" spans="1:51" x14ac:dyDescent="0.2">
      <c r="Z58" s="74"/>
      <c r="AA58" s="72"/>
      <c r="AB58" s="66"/>
      <c r="AC58" s="66"/>
      <c r="AD58" s="66"/>
      <c r="AE58" s="66"/>
      <c r="AF58" s="66"/>
      <c r="AG58" s="66"/>
      <c r="AH58" s="64"/>
      <c r="AI58" s="66"/>
      <c r="AJ58" s="64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</row>
    <row r="59" spans="1:51" x14ac:dyDescent="0.2">
      <c r="Z59" s="74"/>
      <c r="AA59" s="72"/>
      <c r="AB59" s="66"/>
      <c r="AC59" s="66"/>
      <c r="AD59" s="66"/>
      <c r="AE59" s="66"/>
      <c r="AF59" s="66"/>
      <c r="AG59" s="66"/>
      <c r="AH59" s="64"/>
      <c r="AI59" s="66"/>
      <c r="AJ59" s="64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</row>
    <row r="60" spans="1:51" x14ac:dyDescent="0.2">
      <c r="Z60" s="74"/>
      <c r="AA60" s="72"/>
      <c r="AB60" s="66"/>
      <c r="AC60" s="66"/>
      <c r="AD60" s="66"/>
      <c r="AE60" s="66"/>
      <c r="AF60" s="66"/>
      <c r="AG60" s="66"/>
      <c r="AH60" s="64"/>
      <c r="AI60" s="66"/>
      <c r="AJ60" s="64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</row>
    <row r="61" spans="1:51" x14ac:dyDescent="0.2">
      <c r="Z61" s="74"/>
      <c r="AA61" s="72"/>
      <c r="AB61" s="66"/>
      <c r="AC61" s="66"/>
      <c r="AD61" s="66"/>
      <c r="AE61" s="66"/>
      <c r="AF61" s="66"/>
      <c r="AG61" s="66"/>
      <c r="AH61" s="64"/>
      <c r="AI61" s="66"/>
      <c r="AJ61" s="64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</row>
    <row r="62" spans="1:51" s="67" customForma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74"/>
      <c r="AA62" s="72"/>
      <c r="AB62" s="66"/>
      <c r="AC62" s="66"/>
      <c r="AD62" s="66"/>
      <c r="AE62" s="66"/>
      <c r="AF62" s="66"/>
      <c r="AG62" s="66"/>
      <c r="AH62" s="64"/>
      <c r="AI62" s="66"/>
      <c r="AJ62" s="64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</row>
    <row r="63" spans="1:51" x14ac:dyDescent="0.2">
      <c r="Z63" s="75"/>
      <c r="AA63" s="73"/>
      <c r="AB63" s="69"/>
      <c r="AC63" s="69"/>
      <c r="AD63" s="69"/>
      <c r="AE63" s="69"/>
      <c r="AF63" s="69"/>
      <c r="AG63" s="69"/>
      <c r="AH63" s="70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</row>
    <row r="64" spans="1:51" x14ac:dyDescent="0.2">
      <c r="Z64" s="74"/>
      <c r="AA64" s="71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</row>
    <row r="65" spans="1:51" x14ac:dyDescent="0.2">
      <c r="Z65" s="74"/>
      <c r="AA65" s="72"/>
      <c r="AB65" s="66"/>
      <c r="AC65" s="66"/>
      <c r="AD65" s="66"/>
      <c r="AE65" s="66"/>
      <c r="AF65" s="66"/>
      <c r="AG65" s="66"/>
      <c r="AH65" s="64"/>
      <c r="AI65" s="66"/>
      <c r="AJ65" s="64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</row>
    <row r="66" spans="1:51" x14ac:dyDescent="0.2">
      <c r="Z66" s="74"/>
      <c r="AA66" s="72"/>
      <c r="AB66" s="66"/>
      <c r="AC66" s="66"/>
      <c r="AD66" s="66"/>
      <c r="AE66" s="66"/>
      <c r="AF66" s="66"/>
      <c r="AG66" s="66"/>
      <c r="AH66" s="64"/>
      <c r="AI66" s="66"/>
      <c r="AJ66" s="64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</row>
    <row r="67" spans="1:51" x14ac:dyDescent="0.2">
      <c r="Z67" s="74"/>
      <c r="AA67" s="72"/>
      <c r="AB67" s="66"/>
      <c r="AC67" s="66"/>
      <c r="AD67" s="66"/>
      <c r="AE67" s="66"/>
      <c r="AF67" s="66"/>
      <c r="AG67" s="66"/>
      <c r="AH67" s="64"/>
      <c r="AI67" s="66"/>
      <c r="AJ67" s="64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</row>
    <row r="68" spans="1:51" x14ac:dyDescent="0.2">
      <c r="Z68" s="74"/>
      <c r="AA68" s="72"/>
      <c r="AB68" s="66"/>
      <c r="AC68" s="66"/>
      <c r="AD68" s="66"/>
      <c r="AE68" s="66"/>
      <c r="AF68" s="66"/>
      <c r="AG68" s="66"/>
      <c r="AH68" s="64"/>
      <c r="AI68" s="66"/>
      <c r="AJ68" s="64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</row>
    <row r="69" spans="1:51" x14ac:dyDescent="0.2">
      <c r="Z69" s="74"/>
      <c r="AA69" s="72"/>
      <c r="AB69" s="66"/>
      <c r="AC69" s="66"/>
      <c r="AD69" s="66"/>
      <c r="AE69" s="66"/>
      <c r="AF69" s="66"/>
      <c r="AG69" s="66"/>
      <c r="AH69" s="64"/>
      <c r="AI69" s="66"/>
      <c r="AJ69" s="64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</row>
    <row r="70" spans="1:51" x14ac:dyDescent="0.2">
      <c r="Z70" s="74"/>
      <c r="AA70" s="72"/>
      <c r="AB70" s="66"/>
      <c r="AC70" s="66"/>
      <c r="AD70" s="66"/>
      <c r="AE70" s="66"/>
      <c r="AF70" s="66"/>
      <c r="AG70" s="66"/>
      <c r="AH70" s="64"/>
      <c r="AI70" s="66"/>
      <c r="AJ70" s="64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</row>
    <row r="71" spans="1:51" x14ac:dyDescent="0.2">
      <c r="Z71" s="74"/>
      <c r="AA71" s="72"/>
      <c r="AB71" s="66"/>
      <c r="AC71" s="66"/>
      <c r="AD71" s="66"/>
      <c r="AE71" s="66"/>
      <c r="AF71" s="66"/>
      <c r="AG71" s="66"/>
      <c r="AH71" s="64"/>
      <c r="AI71" s="66"/>
      <c r="AJ71" s="64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</row>
    <row r="72" spans="1:51" s="67" customForma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74"/>
      <c r="AA72" s="72"/>
      <c r="AB72" s="66"/>
      <c r="AC72" s="66"/>
      <c r="AD72" s="66"/>
      <c r="AE72" s="66"/>
      <c r="AF72" s="66"/>
      <c r="AG72" s="66"/>
      <c r="AH72" s="64"/>
      <c r="AI72" s="66"/>
      <c r="AJ72" s="64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</row>
    <row r="73" spans="1:51" x14ac:dyDescent="0.2">
      <c r="Z73" s="75"/>
      <c r="AA73" s="73"/>
      <c r="AB73" s="69"/>
      <c r="AC73" s="69"/>
      <c r="AD73" s="69"/>
      <c r="AE73" s="69"/>
      <c r="AF73" s="69"/>
      <c r="AG73" s="69"/>
      <c r="AH73" s="70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</row>
    <row r="74" spans="1:51" x14ac:dyDescent="0.2">
      <c r="Z74" s="74"/>
      <c r="AA74" s="71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</row>
    <row r="75" spans="1:51" x14ac:dyDescent="0.2">
      <c r="Z75" s="74"/>
      <c r="AA75" s="72"/>
      <c r="AB75" s="66"/>
      <c r="AC75" s="66"/>
      <c r="AD75" s="66"/>
      <c r="AE75" s="66"/>
      <c r="AF75" s="66"/>
      <c r="AG75" s="66"/>
      <c r="AH75" s="64"/>
      <c r="AI75" s="66"/>
      <c r="AJ75" s="64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</row>
    <row r="76" spans="1:51" x14ac:dyDescent="0.2">
      <c r="Z76" s="74"/>
      <c r="AA76" s="72"/>
      <c r="AB76" s="66"/>
      <c r="AC76" s="66"/>
      <c r="AD76" s="66"/>
      <c r="AE76" s="66"/>
      <c r="AF76" s="66"/>
      <c r="AG76" s="66"/>
      <c r="AH76" s="64"/>
      <c r="AI76" s="66"/>
      <c r="AJ76" s="64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</row>
    <row r="77" spans="1:51" x14ac:dyDescent="0.2">
      <c r="Z77" s="74"/>
      <c r="AA77" s="72"/>
      <c r="AB77" s="66"/>
      <c r="AC77" s="66"/>
      <c r="AD77" s="66"/>
      <c r="AE77" s="66"/>
      <c r="AF77" s="66"/>
      <c r="AG77" s="66"/>
      <c r="AH77" s="64"/>
      <c r="AI77" s="66"/>
      <c r="AJ77" s="64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</row>
    <row r="78" spans="1:51" x14ac:dyDescent="0.2">
      <c r="Z78" s="74"/>
      <c r="AA78" s="72"/>
      <c r="AB78" s="66"/>
      <c r="AC78" s="66"/>
      <c r="AD78" s="66"/>
      <c r="AE78" s="66"/>
      <c r="AF78" s="66"/>
      <c r="AG78" s="66"/>
      <c r="AH78" s="64"/>
      <c r="AI78" s="66"/>
      <c r="AJ78" s="64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</row>
    <row r="79" spans="1:51" x14ac:dyDescent="0.2">
      <c r="Z79" s="74"/>
      <c r="AA79" s="72"/>
      <c r="AB79" s="66"/>
      <c r="AC79" s="66"/>
      <c r="AD79" s="66"/>
      <c r="AE79" s="66"/>
      <c r="AF79" s="66"/>
      <c r="AG79" s="66"/>
      <c r="AH79" s="64"/>
      <c r="AI79" s="66"/>
      <c r="AJ79" s="64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</row>
    <row r="80" spans="1:51" x14ac:dyDescent="0.2">
      <c r="Z80" s="74"/>
      <c r="AA80" s="72"/>
      <c r="AB80" s="66"/>
      <c r="AC80" s="66"/>
      <c r="AD80" s="66"/>
      <c r="AE80" s="66"/>
      <c r="AF80" s="66"/>
      <c r="AG80" s="66"/>
      <c r="AH80" s="64"/>
      <c r="AI80" s="66"/>
      <c r="AJ80" s="64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</row>
    <row r="81" spans="1:51" x14ac:dyDescent="0.2">
      <c r="Z81" s="74"/>
      <c r="AA81" s="72"/>
      <c r="AB81" s="66"/>
      <c r="AC81" s="66"/>
      <c r="AD81" s="66"/>
      <c r="AE81" s="66"/>
      <c r="AF81" s="66"/>
      <c r="AG81" s="66"/>
      <c r="AH81" s="64"/>
      <c r="AI81" s="66"/>
      <c r="AJ81" s="64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</row>
    <row r="82" spans="1:51" s="67" customForma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74"/>
      <c r="AA82" s="72"/>
      <c r="AB82" s="66"/>
      <c r="AC82" s="66"/>
      <c r="AD82" s="66"/>
      <c r="AE82" s="66"/>
      <c r="AF82" s="66"/>
      <c r="AG82" s="66"/>
      <c r="AH82" s="64"/>
      <c r="AI82" s="66"/>
      <c r="AJ82" s="64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</row>
    <row r="83" spans="1:51" x14ac:dyDescent="0.2">
      <c r="Z83" s="75"/>
      <c r="AA83" s="73"/>
      <c r="AB83" s="69"/>
      <c r="AC83" s="69"/>
      <c r="AD83" s="69"/>
      <c r="AE83" s="69"/>
      <c r="AF83" s="69"/>
      <c r="AG83" s="69"/>
      <c r="AH83" s="70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</row>
    <row r="84" spans="1:51" x14ac:dyDescent="0.2">
      <c r="Z84" s="74"/>
      <c r="AA84" s="71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</row>
    <row r="85" spans="1:51" x14ac:dyDescent="0.2">
      <c r="Z85" s="74"/>
      <c r="AA85" s="72"/>
      <c r="AB85" s="66"/>
      <c r="AC85" s="66"/>
      <c r="AD85" s="66"/>
      <c r="AE85" s="66"/>
      <c r="AF85" s="66"/>
      <c r="AG85" s="66"/>
      <c r="AH85" s="64"/>
      <c r="AI85" s="66"/>
      <c r="AJ85" s="64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</row>
    <row r="86" spans="1:51" x14ac:dyDescent="0.2">
      <c r="Z86" s="74"/>
      <c r="AA86" s="72"/>
      <c r="AB86" s="66"/>
      <c r="AC86" s="66"/>
      <c r="AD86" s="66"/>
      <c r="AE86" s="66"/>
      <c r="AF86" s="66"/>
      <c r="AG86" s="66"/>
      <c r="AH86" s="64"/>
      <c r="AI86" s="66"/>
      <c r="AJ86" s="64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</row>
    <row r="87" spans="1:51" x14ac:dyDescent="0.2">
      <c r="Z87" s="74"/>
      <c r="AA87" s="72"/>
      <c r="AB87" s="66"/>
      <c r="AC87" s="66"/>
      <c r="AD87" s="66"/>
      <c r="AE87" s="66"/>
      <c r="AF87" s="66"/>
      <c r="AG87" s="66"/>
      <c r="AH87" s="64"/>
      <c r="AI87" s="66"/>
      <c r="AJ87" s="64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</row>
    <row r="88" spans="1:51" s="67" customForma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74"/>
      <c r="AA88" s="76"/>
      <c r="AB88" s="66"/>
      <c r="AC88" s="66"/>
      <c r="AD88" s="66"/>
      <c r="AE88" s="66"/>
      <c r="AF88" s="66"/>
      <c r="AG88" s="66"/>
      <c r="AH88" s="64"/>
      <c r="AI88" s="66"/>
      <c r="AJ88" s="64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</row>
    <row r="89" spans="1:51" x14ac:dyDescent="0.2">
      <c r="Z89" s="74"/>
      <c r="AA89" s="77"/>
      <c r="AB89" s="66"/>
      <c r="AC89" s="66"/>
      <c r="AD89" s="66"/>
      <c r="AE89" s="66"/>
      <c r="AF89" s="66"/>
      <c r="AG89" s="66"/>
      <c r="AH89" s="64"/>
      <c r="AI89" s="66"/>
      <c r="AJ89" s="64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</row>
    <row r="90" spans="1:51" x14ac:dyDescent="0.2">
      <c r="AA90" s="71"/>
      <c r="AB90" s="66"/>
      <c r="AC90" s="66"/>
      <c r="AD90" s="66"/>
      <c r="AE90" s="66"/>
      <c r="AF90" s="66"/>
      <c r="AG90" s="66"/>
      <c r="AH90" s="64"/>
      <c r="AI90" s="66"/>
      <c r="AJ90" s="64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</row>
    <row r="91" spans="1:51" x14ac:dyDescent="0.2">
      <c r="AA91" s="72"/>
      <c r="AB91" s="66"/>
      <c r="AC91" s="66"/>
      <c r="AD91" s="66"/>
      <c r="AE91" s="66"/>
      <c r="AF91" s="66"/>
      <c r="AG91" s="66"/>
      <c r="AH91" s="64"/>
      <c r="AI91" s="66"/>
      <c r="AJ91" s="64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</row>
    <row r="92" spans="1:51" s="67" customForma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61"/>
      <c r="AA92" s="72"/>
      <c r="AB92" s="66"/>
      <c r="AC92" s="66"/>
      <c r="AD92" s="66"/>
      <c r="AE92" s="66"/>
      <c r="AF92" s="66"/>
      <c r="AG92" s="66"/>
      <c r="AH92" s="64"/>
      <c r="AI92" s="66"/>
      <c r="AJ92" s="64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</row>
    <row r="93" spans="1:51" x14ac:dyDescent="0.2">
      <c r="Z93" s="78"/>
      <c r="AA93" s="73"/>
      <c r="AB93" s="69"/>
      <c r="AC93" s="69"/>
      <c r="AD93" s="69"/>
      <c r="AE93" s="69"/>
      <c r="AF93" s="69"/>
      <c r="AG93" s="69"/>
      <c r="AH93" s="70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</row>
    <row r="94" spans="1:51" x14ac:dyDescent="0.2">
      <c r="AA94" s="71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</row>
    <row r="95" spans="1:51" x14ac:dyDescent="0.2">
      <c r="AA95" s="72"/>
      <c r="AB95" s="66"/>
      <c r="AC95" s="66"/>
      <c r="AD95" s="66"/>
      <c r="AE95" s="66"/>
      <c r="AF95" s="66"/>
      <c r="AG95" s="66"/>
      <c r="AH95" s="64"/>
      <c r="AI95" s="66"/>
      <c r="AJ95" s="64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</row>
    <row r="96" spans="1:51" x14ac:dyDescent="0.2">
      <c r="AA96" s="72"/>
      <c r="AB96" s="66"/>
      <c r="AC96" s="66"/>
      <c r="AD96" s="66"/>
      <c r="AE96" s="66"/>
      <c r="AF96" s="66"/>
      <c r="AG96" s="66"/>
      <c r="AH96" s="64"/>
      <c r="AI96" s="66"/>
      <c r="AJ96" s="64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</row>
    <row r="97" spans="1:51" s="61" customForma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AA97" s="72"/>
      <c r="AB97" s="66"/>
      <c r="AC97" s="66"/>
      <c r="AD97" s="66"/>
      <c r="AE97" s="66"/>
      <c r="AF97" s="66"/>
      <c r="AG97" s="66"/>
      <c r="AH97" s="64"/>
      <c r="AI97" s="66"/>
      <c r="AJ97" s="64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</row>
    <row r="98" spans="1:51" s="61" customForma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AA98" s="72"/>
      <c r="AB98" s="66"/>
      <c r="AC98" s="66"/>
      <c r="AD98" s="66"/>
      <c r="AE98" s="66"/>
      <c r="AF98" s="66"/>
      <c r="AG98" s="66"/>
      <c r="AH98" s="64"/>
      <c r="AI98" s="66"/>
      <c r="AJ98" s="64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</row>
    <row r="99" spans="1:51" s="61" customForma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AA99" s="72"/>
      <c r="AB99" s="66"/>
      <c r="AC99" s="66"/>
      <c r="AD99" s="66"/>
      <c r="AE99" s="66"/>
      <c r="AF99" s="66"/>
      <c r="AG99" s="66"/>
      <c r="AH99" s="64"/>
      <c r="AI99" s="66"/>
      <c r="AJ99" s="64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</row>
    <row r="100" spans="1:51" s="61" customForma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AA100" s="72"/>
      <c r="AB100" s="66"/>
      <c r="AC100" s="66"/>
      <c r="AD100" s="66"/>
      <c r="AE100" s="66"/>
      <c r="AF100" s="66"/>
      <c r="AG100" s="66"/>
      <c r="AH100" s="64"/>
      <c r="AI100" s="66"/>
      <c r="AJ100" s="64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</row>
    <row r="101" spans="1:51" s="61" customFormat="1" x14ac:dyDescent="0.2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AA101" s="72"/>
      <c r="AB101" s="66"/>
      <c r="AC101" s="66"/>
      <c r="AD101" s="66"/>
      <c r="AE101" s="66"/>
      <c r="AF101" s="66"/>
      <c r="AG101" s="66"/>
      <c r="AH101" s="64"/>
      <c r="AI101" s="66"/>
      <c r="AJ101" s="64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</row>
    <row r="102" spans="1:51" s="78" customFormat="1" x14ac:dyDescent="0.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61"/>
      <c r="AA102" s="72"/>
      <c r="AB102" s="66"/>
      <c r="AC102" s="66"/>
      <c r="AD102" s="66"/>
      <c r="AE102" s="66"/>
      <c r="AF102" s="66"/>
      <c r="AG102" s="66"/>
      <c r="AH102" s="64"/>
      <c r="AI102" s="66"/>
      <c r="AJ102" s="64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</row>
    <row r="103" spans="1:51" s="61" customFormat="1" x14ac:dyDescent="0.2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64" t="e">
        <f>#REF!/BI$2</f>
        <v>#REF!</v>
      </c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</row>
    <row r="104" spans="1:51" s="61" customFormat="1" x14ac:dyDescent="0.2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AJ104" s="64" t="e">
        <f>#REF!/BI$2</f>
        <v>#REF!</v>
      </c>
    </row>
    <row r="105" spans="1:51" s="61" customFormat="1" x14ac:dyDescent="0.2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51" s="61" customFormat="1" x14ac:dyDescent="0.2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spans="1:51" s="61" customFormat="1" x14ac:dyDescent="0.2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spans="1:51" s="61" customFormat="1" x14ac:dyDescent="0.2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spans="1:51" s="61" customFormat="1" x14ac:dyDescent="0.2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spans="1:51" s="61" customFormat="1" x14ac:dyDescent="0.2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spans="1:51" s="61" customFormat="1" x14ac:dyDescent="0.2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spans="1:51" s="78" customFormat="1" x14ac:dyDescent="0.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</row>
    <row r="113" spans="1:51" s="61" customFormat="1" x14ac:dyDescent="0.2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</row>
    <row r="114" spans="1:51" s="61" customFormat="1" x14ac:dyDescent="0.2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spans="1:51" s="61" customFormat="1" x14ac:dyDescent="0.2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spans="1:51" s="61" customFormat="1" x14ac:dyDescent="0.2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spans="1:51" s="61" customFormat="1" x14ac:dyDescent="0.2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spans="1:51" s="61" customFormat="1" x14ac:dyDescent="0.2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spans="1:51" s="61" customFormat="1" x14ac:dyDescent="0.2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spans="1:51" s="61" customFormat="1" x14ac:dyDescent="0.2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spans="1:51" s="61" customFormat="1" x14ac:dyDescent="0.2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spans="1:51" s="78" customFormat="1" x14ac:dyDescent="0.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</row>
    <row r="123" spans="1:51" s="61" customFormat="1" x14ac:dyDescent="0.2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</row>
    <row r="124" spans="1:51" s="61" customFormat="1" x14ac:dyDescent="0.2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spans="1:51" s="61" customFormat="1" x14ac:dyDescent="0.2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spans="1:51" s="61" customFormat="1" x14ac:dyDescent="0.2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spans="1:51" s="61" customFormat="1" x14ac:dyDescent="0.2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spans="1:51" s="61" customFormat="1" x14ac:dyDescent="0.2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spans="1:51" s="61" customFormat="1" x14ac:dyDescent="0.2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spans="1:51" s="61" customFormat="1" x14ac:dyDescent="0.2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spans="1:51" s="61" customFormat="1" x14ac:dyDescent="0.2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spans="1:51" s="78" customFormat="1" x14ac:dyDescent="0.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</row>
    <row r="133" spans="1:51" s="61" customFormat="1" x14ac:dyDescent="0.2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</row>
    <row r="134" spans="1:51" s="61" customFormat="1" x14ac:dyDescent="0.2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spans="1:51" s="61" customFormat="1" x14ac:dyDescent="0.2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spans="1:51" s="61" customFormat="1" x14ac:dyDescent="0.2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spans="1:51" s="61" customFormat="1" x14ac:dyDescent="0.2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spans="1:51" s="61" customFormat="1" x14ac:dyDescent="0.2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spans="1:51" s="61" customFormat="1" x14ac:dyDescent="0.2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spans="1:51" s="61" customFormat="1" x14ac:dyDescent="0.2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spans="1:51" s="61" customFormat="1" x14ac:dyDescent="0.2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spans="1:51" s="78" customFormat="1" x14ac:dyDescent="0.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</row>
    <row r="143" spans="1:51" s="61" customFormat="1" x14ac:dyDescent="0.2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</row>
    <row r="144" spans="1:51" s="61" customFormat="1" x14ac:dyDescent="0.2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spans="1:51" s="61" customFormat="1" x14ac:dyDescent="0.2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spans="1:51" x14ac:dyDescent="0.2">
      <c r="AR146" s="61"/>
      <c r="AS146" s="61"/>
      <c r="AX146" s="61"/>
      <c r="AY146" s="61"/>
    </row>
    <row r="152" spans="1:51" s="67" customFormat="1" x14ac:dyDescent="0.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51"/>
      <c r="AS152" s="51"/>
      <c r="AT152" s="61"/>
      <c r="AU152" s="61"/>
      <c r="AV152" s="61"/>
      <c r="AW152" s="61"/>
      <c r="AX152" s="51"/>
      <c r="AY152" s="51"/>
    </row>
    <row r="153" spans="1:51" x14ac:dyDescent="0.2"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67"/>
      <c r="AS153" s="67"/>
      <c r="AT153" s="78"/>
      <c r="AU153" s="78"/>
      <c r="AV153" s="78"/>
      <c r="AW153" s="78"/>
      <c r="AX153" s="67"/>
      <c r="AY153" s="67"/>
    </row>
  </sheetData>
  <mergeCells count="1">
    <mergeCell ref="Z4:Z13"/>
  </mergeCells>
  <conditionalFormatting sqref="B4:B1048576">
    <cfRule type="cellIs" dxfId="131" priority="72" operator="lessThan">
      <formula>$B$2</formula>
    </cfRule>
  </conditionalFormatting>
  <conditionalFormatting sqref="C4:C1048576">
    <cfRule type="cellIs" dxfId="130" priority="73" operator="lessThan">
      <formula>$C$2</formula>
    </cfRule>
  </conditionalFormatting>
  <conditionalFormatting sqref="D4:D1048576">
    <cfRule type="cellIs" dxfId="129" priority="74" operator="lessThan">
      <formula>$D$2</formula>
    </cfRule>
  </conditionalFormatting>
  <conditionalFormatting sqref="E4:E1048576">
    <cfRule type="cellIs" dxfId="128" priority="75" operator="lessThan">
      <formula>$E$2</formula>
    </cfRule>
  </conditionalFormatting>
  <conditionalFormatting sqref="E4:G1048576">
    <cfRule type="cellIs" dxfId="127" priority="95" operator="greaterThan">
      <formula>10000</formula>
    </cfRule>
  </conditionalFormatting>
  <conditionalFormatting sqref="F4:F1048576">
    <cfRule type="cellIs" dxfId="126" priority="76" operator="lessThan">
      <formula>$F$2</formula>
    </cfRule>
  </conditionalFormatting>
  <conditionalFormatting sqref="G4:G1048576">
    <cfRule type="cellIs" dxfId="125" priority="77" operator="lessThan">
      <formula>$G$2</formula>
    </cfRule>
  </conditionalFormatting>
  <conditionalFormatting sqref="H4:H1048576">
    <cfRule type="cellIs" dxfId="124" priority="78" operator="lessThan">
      <formula>$H$2</formula>
    </cfRule>
  </conditionalFormatting>
  <conditionalFormatting sqref="H4:Y1048576 B4:D1048576">
    <cfRule type="cellIs" dxfId="123" priority="96" operator="greaterThan">
      <formula>2000</formula>
    </cfRule>
  </conditionalFormatting>
  <conditionalFormatting sqref="I4:J1048576">
    <cfRule type="cellIs" dxfId="122" priority="79" operator="lessThan">
      <formula>$I$2</formula>
    </cfRule>
  </conditionalFormatting>
  <conditionalFormatting sqref="K4:K1048576">
    <cfRule type="cellIs" dxfId="121" priority="80" operator="lessThan">
      <formula>$K$2</formula>
    </cfRule>
  </conditionalFormatting>
  <conditionalFormatting sqref="L4:L1048576">
    <cfRule type="cellIs" dxfId="120" priority="81" operator="lessThan">
      <formula>$L$2</formula>
    </cfRule>
  </conditionalFormatting>
  <conditionalFormatting sqref="M4:M1048576">
    <cfRule type="cellIs" dxfId="119" priority="82" operator="lessThan">
      <formula>$M$2</formula>
    </cfRule>
  </conditionalFormatting>
  <conditionalFormatting sqref="N4:N1048576">
    <cfRule type="cellIs" dxfId="118" priority="83" operator="lessThan">
      <formula>$N$2</formula>
    </cfRule>
  </conditionalFormatting>
  <conditionalFormatting sqref="O4:O1048576">
    <cfRule type="cellIs" dxfId="117" priority="84" operator="lessThan">
      <formula>$O$2</formula>
    </cfRule>
  </conditionalFormatting>
  <conditionalFormatting sqref="P4:P1048576">
    <cfRule type="cellIs" dxfId="116" priority="85" operator="lessThan">
      <formula>$P$2</formula>
    </cfRule>
  </conditionalFormatting>
  <conditionalFormatting sqref="Q4:S1048576">
    <cfRule type="cellIs" dxfId="115" priority="86" operator="lessThan">
      <formula>$Q$2</formula>
    </cfRule>
  </conditionalFormatting>
  <conditionalFormatting sqref="R4:R1048576">
    <cfRule type="cellIs" dxfId="114" priority="93" operator="lessThan">
      <formula>$R$2</formula>
    </cfRule>
  </conditionalFormatting>
  <conditionalFormatting sqref="S4:S1048576">
    <cfRule type="cellIs" dxfId="113" priority="94" operator="lessThan">
      <formula>$S$2</formula>
    </cfRule>
  </conditionalFormatting>
  <conditionalFormatting sqref="T4:T1048576">
    <cfRule type="cellIs" dxfId="112" priority="87" operator="lessThan">
      <formula>$T$2</formula>
    </cfRule>
  </conditionalFormatting>
  <conditionalFormatting sqref="U4:U1048576">
    <cfRule type="cellIs" dxfId="111" priority="88" operator="lessThan">
      <formula>$U$2</formula>
    </cfRule>
  </conditionalFormatting>
  <conditionalFormatting sqref="V4:V1048576">
    <cfRule type="cellIs" dxfId="110" priority="89" operator="lessThan">
      <formula>$V$2</formula>
    </cfRule>
  </conditionalFormatting>
  <conditionalFormatting sqref="W4:W1048576">
    <cfRule type="cellIs" dxfId="109" priority="90" operator="lessThan">
      <formula>$W$2</formula>
    </cfRule>
  </conditionalFormatting>
  <conditionalFormatting sqref="X4:X1048576">
    <cfRule type="cellIs" dxfId="108" priority="91" operator="lessThan">
      <formula>$X$2</formula>
    </cfRule>
  </conditionalFormatting>
  <conditionalFormatting sqref="Y4:Y1048576">
    <cfRule type="cellIs" dxfId="107" priority="92" operator="lessThan">
      <formula>$Y$2</formula>
    </cfRule>
  </conditionalFormatting>
  <conditionalFormatting sqref="AB4:AY7">
    <cfRule type="cellIs" dxfId="106" priority="1" operator="lessThan">
      <formula>$B$2</formula>
    </cfRule>
  </conditionalFormatting>
  <conditionalFormatting sqref="AB103:AB1048576">
    <cfRule type="cellIs" dxfId="105" priority="48" operator="lessThan">
      <formula>$AB$2</formula>
    </cfRule>
    <cfRule type="cellIs" dxfId="104" priority="71" operator="greaterThan">
      <formula>$AB$3</formula>
    </cfRule>
  </conditionalFormatting>
  <conditionalFormatting sqref="AC103:AC1048576">
    <cfRule type="cellIs" dxfId="102" priority="70" operator="greaterThan">
      <formula>$AC$3</formula>
    </cfRule>
    <cfRule type="cellIs" dxfId="101" priority="47" operator="lessThan">
      <formula>$AC$2</formula>
    </cfRule>
  </conditionalFormatting>
  <conditionalFormatting sqref="AD103:AD1048576">
    <cfRule type="cellIs" dxfId="99" priority="69" operator="greaterThan">
      <formula>$AD$3</formula>
    </cfRule>
    <cfRule type="cellIs" dxfId="98" priority="46" operator="lessThan">
      <formula>$AD$2</formula>
    </cfRule>
  </conditionalFormatting>
  <conditionalFormatting sqref="AE103:AE1048576">
    <cfRule type="cellIs" dxfId="96" priority="68" operator="greaterThan">
      <formula>$AE$3</formula>
    </cfRule>
    <cfRule type="cellIs" dxfId="95" priority="45" operator="lessThan">
      <formula>$AE$2</formula>
    </cfRule>
  </conditionalFormatting>
  <conditionalFormatting sqref="AF103:AF1048576">
    <cfRule type="cellIs" dxfId="92" priority="67" operator="greaterThan">
      <formula>$AF$3</formula>
    </cfRule>
    <cfRule type="cellIs" dxfId="91" priority="44" operator="lessThan">
      <formula>$AF$2</formula>
    </cfRule>
  </conditionalFormatting>
  <conditionalFormatting sqref="AG103:AG1048576">
    <cfRule type="cellIs" dxfId="89" priority="66" operator="greaterThan">
      <formula>$AG$3</formula>
    </cfRule>
    <cfRule type="cellIs" dxfId="88" priority="43" operator="lessThan">
      <formula>$AG$2</formula>
    </cfRule>
  </conditionalFormatting>
  <conditionalFormatting sqref="AH103:AH1048576">
    <cfRule type="cellIs" dxfId="86" priority="65" operator="greaterThan">
      <formula>$AH$3</formula>
    </cfRule>
    <cfRule type="cellIs" dxfId="85" priority="42" operator="lessThan">
      <formula>$AH$2</formula>
    </cfRule>
  </conditionalFormatting>
  <conditionalFormatting sqref="AB4:AY7">
    <cfRule type="cellIs" dxfId="84" priority="25" operator="greaterThan">
      <formula>2000</formula>
    </cfRule>
  </conditionalFormatting>
  <conditionalFormatting sqref="AJ4:AY7">
    <cfRule type="cellIs" dxfId="83" priority="8" operator="lessThan">
      <formula>$I$2</formula>
    </cfRule>
  </conditionalFormatting>
  <conditionalFormatting sqref="AI103:AJ1048576">
    <cfRule type="cellIs" dxfId="82" priority="64" operator="greaterThan">
      <formula>$AI$3</formula>
    </cfRule>
    <cfRule type="cellIs" dxfId="81" priority="41" operator="lessThan">
      <formula>$AI$2</formula>
    </cfRule>
  </conditionalFormatting>
  <conditionalFormatting sqref="AK4:AY7">
    <cfRule type="cellIs" dxfId="80" priority="9" operator="lessThan">
      <formula>$K$2</formula>
    </cfRule>
  </conditionalFormatting>
  <conditionalFormatting sqref="AK103:AK1048576">
    <cfRule type="cellIs" dxfId="79" priority="63" operator="greaterThan">
      <formula>$AK$3</formula>
    </cfRule>
    <cfRule type="cellIs" dxfId="78" priority="40" operator="lessThan">
      <formula>$AK$2</formula>
    </cfRule>
  </conditionalFormatting>
  <conditionalFormatting sqref="AL4:AL7">
    <cfRule type="cellIs" dxfId="77" priority="10" operator="lessThan">
      <formula>$L$2</formula>
    </cfRule>
  </conditionalFormatting>
  <conditionalFormatting sqref="AL103:AL1048576">
    <cfRule type="cellIs" dxfId="76" priority="62" operator="greaterThan">
      <formula>$AL$3</formula>
    </cfRule>
    <cfRule type="cellIs" dxfId="75" priority="39" operator="lessThan">
      <formula>$AL$2</formula>
    </cfRule>
  </conditionalFormatting>
  <conditionalFormatting sqref="AM4:AM7">
    <cfRule type="cellIs" dxfId="74" priority="11" operator="lessThan">
      <formula>$M$2</formula>
    </cfRule>
  </conditionalFormatting>
  <conditionalFormatting sqref="AM103:AM1048576">
    <cfRule type="cellIs" dxfId="73" priority="38" operator="lessThan">
      <formula>$AM$2</formula>
    </cfRule>
    <cfRule type="cellIs" dxfId="72" priority="61" operator="greaterThan">
      <formula>$AM$3</formula>
    </cfRule>
  </conditionalFormatting>
  <conditionalFormatting sqref="AN4:AN7">
    <cfRule type="cellIs" dxfId="71" priority="12" operator="lessThan">
      <formula>$N$2</formula>
    </cfRule>
  </conditionalFormatting>
  <conditionalFormatting sqref="AN103:AN1048576">
    <cfRule type="cellIs" dxfId="70" priority="37" operator="lessThan">
      <formula>$AN$2</formula>
    </cfRule>
    <cfRule type="cellIs" dxfId="69" priority="60" operator="greaterThan">
      <formula>$AN$3</formula>
    </cfRule>
  </conditionalFormatting>
  <conditionalFormatting sqref="AO4:AO7">
    <cfRule type="cellIs" dxfId="68" priority="13" operator="lessThan">
      <formula>$O$2</formula>
    </cfRule>
  </conditionalFormatting>
  <conditionalFormatting sqref="AO103:AO1048576">
    <cfRule type="cellIs" dxfId="67" priority="59" operator="greaterThan">
      <formula>$AO$3</formula>
    </cfRule>
    <cfRule type="cellIs" dxfId="66" priority="36" operator="lessThan">
      <formula>$AO$2</formula>
    </cfRule>
  </conditionalFormatting>
  <conditionalFormatting sqref="AP4:AP7">
    <cfRule type="cellIs" dxfId="65" priority="14" operator="lessThan">
      <formula>$P$2</formula>
    </cfRule>
  </conditionalFormatting>
  <conditionalFormatting sqref="AP103:AP1048576">
    <cfRule type="cellIs" dxfId="64" priority="58" operator="greaterThan">
      <formula>$AP$3</formula>
    </cfRule>
    <cfRule type="cellIs" dxfId="63" priority="35" operator="lessThan">
      <formula>$AP$2</formula>
    </cfRule>
  </conditionalFormatting>
  <conditionalFormatting sqref="AQ4:AS7">
    <cfRule type="cellIs" dxfId="62" priority="15" operator="lessThan">
      <formula>$Q$2</formula>
    </cfRule>
  </conditionalFormatting>
  <conditionalFormatting sqref="AQ103:AS1048576">
    <cfRule type="cellIs" dxfId="61" priority="34" operator="lessThan">
      <formula>$AQ$2</formula>
    </cfRule>
    <cfRule type="cellIs" dxfId="60" priority="57" operator="greaterThan">
      <formula>$AQ$3</formula>
    </cfRule>
  </conditionalFormatting>
  <conditionalFormatting sqref="AR4:AR7">
    <cfRule type="cellIs" dxfId="59" priority="22" operator="lessThan">
      <formula>$R$2</formula>
    </cfRule>
  </conditionalFormatting>
  <conditionalFormatting sqref="AR103:AR1048576">
    <cfRule type="cellIs" dxfId="58" priority="50" operator="greaterThan">
      <formula>$AR$3</formula>
    </cfRule>
    <cfRule type="cellIs" dxfId="57" priority="27" operator="lessThan">
      <formula>$AR$2</formula>
    </cfRule>
  </conditionalFormatting>
  <conditionalFormatting sqref="AS4:AS7">
    <cfRule type="cellIs" dxfId="56" priority="23" operator="lessThan">
      <formula>$S$2</formula>
    </cfRule>
  </conditionalFormatting>
  <conditionalFormatting sqref="AS103:AS1048576">
    <cfRule type="cellIs" dxfId="55" priority="26" operator="lessThan">
      <formula>$AS$2</formula>
    </cfRule>
    <cfRule type="cellIs" dxfId="54" priority="49" operator="greaterThan">
      <formula>$AS$3</formula>
    </cfRule>
  </conditionalFormatting>
  <conditionalFormatting sqref="AT4:AT7">
    <cfRule type="cellIs" dxfId="53" priority="16" operator="lessThan">
      <formula>$T$2</formula>
    </cfRule>
  </conditionalFormatting>
  <conditionalFormatting sqref="AT103:AT1048576">
    <cfRule type="cellIs" dxfId="52" priority="33" operator="lessThan">
      <formula>$AT$2</formula>
    </cfRule>
    <cfRule type="cellIs" dxfId="51" priority="56" operator="greaterThan">
      <formula>$AT$3</formula>
    </cfRule>
  </conditionalFormatting>
  <conditionalFormatting sqref="AU4:AU7">
    <cfRule type="cellIs" dxfId="50" priority="17" operator="lessThan">
      <formula>$U$2</formula>
    </cfRule>
  </conditionalFormatting>
  <conditionalFormatting sqref="AU103:AU1048576">
    <cfRule type="cellIs" dxfId="49" priority="55" operator="greaterThan">
      <formula>$AU$3</formula>
    </cfRule>
    <cfRule type="cellIs" dxfId="48" priority="32" operator="lessThan">
      <formula>$AU$2</formula>
    </cfRule>
  </conditionalFormatting>
  <conditionalFormatting sqref="AV4:AV7">
    <cfRule type="cellIs" dxfId="47" priority="18" operator="lessThan">
      <formula>$V$2</formula>
    </cfRule>
  </conditionalFormatting>
  <conditionalFormatting sqref="AV103:AV1048576">
    <cfRule type="cellIs" dxfId="46" priority="54" operator="greaterThan">
      <formula>$AV$3</formula>
    </cfRule>
    <cfRule type="cellIs" dxfId="45" priority="31" operator="lessThan">
      <formula>$AV$2</formula>
    </cfRule>
  </conditionalFormatting>
  <conditionalFormatting sqref="AW4:AW7">
    <cfRule type="cellIs" dxfId="44" priority="19" operator="lessThan">
      <formula>$W$2</formula>
    </cfRule>
  </conditionalFormatting>
  <conditionalFormatting sqref="AW103:AW1048576">
    <cfRule type="cellIs" dxfId="43" priority="30" operator="lessThan">
      <formula>$AW$2</formula>
    </cfRule>
    <cfRule type="cellIs" dxfId="42" priority="53" operator="greaterThan">
      <formula>$AW$3</formula>
    </cfRule>
  </conditionalFormatting>
  <conditionalFormatting sqref="AX4:AX7">
    <cfRule type="cellIs" dxfId="41" priority="20" operator="lessThan">
      <formula>$X$2</formula>
    </cfRule>
  </conditionalFormatting>
  <conditionalFormatting sqref="AX103:AX1048576">
    <cfRule type="cellIs" dxfId="40" priority="29" operator="lessThan">
      <formula>$AX$2</formula>
    </cfRule>
    <cfRule type="cellIs" dxfId="39" priority="52" operator="greaterThan">
      <formula>$AX$3</formula>
    </cfRule>
  </conditionalFormatting>
  <conditionalFormatting sqref="AY4:AY7">
    <cfRule type="cellIs" dxfId="38" priority="21" operator="lessThan">
      <formula>$Y$2</formula>
    </cfRule>
  </conditionalFormatting>
  <conditionalFormatting sqref="AY103:AY1048576">
    <cfRule type="cellIs" dxfId="37" priority="28" operator="lessThan">
      <formula>$AY$2</formula>
    </cfRule>
    <cfRule type="cellIs" dxfId="36" priority="51" operator="greaterThan">
      <formula>$AY$3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3660-03D8-4A97-A365-C70B45655881}">
  <sheetPr>
    <tabColor rgb="FF92D050"/>
  </sheetPr>
  <dimension ref="A1:Y11"/>
  <sheetViews>
    <sheetView workbookViewId="0">
      <selection activeCell="J37" sqref="J37"/>
    </sheetView>
  </sheetViews>
  <sheetFormatPr defaultRowHeight="12.75" x14ac:dyDescent="0.2"/>
  <sheetData>
    <row r="1" spans="1:25" s="109" customFormat="1" ht="21" customHeight="1" thickBot="1" x14ac:dyDescent="0.25">
      <c r="A1" s="108" t="s">
        <v>217</v>
      </c>
    </row>
    <row r="2" spans="1:25" ht="42" x14ac:dyDescent="0.2">
      <c r="A2" s="46" t="s">
        <v>131</v>
      </c>
      <c r="B2" s="46" t="s">
        <v>170</v>
      </c>
      <c r="C2" s="46" t="s">
        <v>171</v>
      </c>
      <c r="D2" s="47" t="s">
        <v>172</v>
      </c>
      <c r="E2" s="48" t="s">
        <v>173</v>
      </c>
      <c r="F2" s="49" t="s">
        <v>174</v>
      </c>
      <c r="G2" s="46" t="s">
        <v>175</v>
      </c>
      <c r="H2" s="50" t="s">
        <v>176</v>
      </c>
      <c r="I2" s="46" t="s">
        <v>177</v>
      </c>
      <c r="J2" s="50" t="s">
        <v>178</v>
      </c>
      <c r="K2" s="46" t="s">
        <v>179</v>
      </c>
      <c r="L2" s="46" t="s">
        <v>180</v>
      </c>
      <c r="M2" s="46" t="s">
        <v>181</v>
      </c>
      <c r="N2" s="46" t="s">
        <v>182</v>
      </c>
      <c r="O2" s="46" t="s">
        <v>183</v>
      </c>
      <c r="P2" s="46" t="s">
        <v>184</v>
      </c>
      <c r="Q2" s="46" t="s">
        <v>185</v>
      </c>
      <c r="R2" s="46" t="s">
        <v>19</v>
      </c>
      <c r="S2" s="46" t="s">
        <v>13</v>
      </c>
      <c r="T2" s="46" t="s">
        <v>186</v>
      </c>
      <c r="U2" s="46" t="s">
        <v>187</v>
      </c>
      <c r="V2" s="46" t="s">
        <v>188</v>
      </c>
      <c r="W2" s="46" t="s">
        <v>189</v>
      </c>
      <c r="X2" s="46" t="s">
        <v>190</v>
      </c>
      <c r="Y2" s="46" t="s">
        <v>191</v>
      </c>
    </row>
    <row r="3" spans="1:25" x14ac:dyDescent="0.2">
      <c r="A3" s="4" t="s">
        <v>112</v>
      </c>
      <c r="B3" s="110">
        <v>9.8659594693435331</v>
      </c>
      <c r="C3" s="110">
        <v>2.6752761365363793</v>
      </c>
      <c r="D3" s="110">
        <v>1.4238849014964645</v>
      </c>
      <c r="E3" s="110">
        <v>79.233637969375309</v>
      </c>
      <c r="F3" s="99">
        <v>0.16071611467174507</v>
      </c>
      <c r="G3" s="110">
        <v>110.22882947660359</v>
      </c>
      <c r="H3" s="110">
        <v>10.853432773904142</v>
      </c>
      <c r="I3" s="110">
        <v>19.23230534097635</v>
      </c>
      <c r="J3" s="110">
        <v>15.180223828513174</v>
      </c>
      <c r="K3" s="110">
        <v>20.37927900772036</v>
      </c>
      <c r="L3" s="99">
        <v>2.7836026543781693E-2</v>
      </c>
      <c r="M3" s="99">
        <v>0.11928637057332635</v>
      </c>
      <c r="N3" s="99">
        <v>1.9460406544547767E-4</v>
      </c>
      <c r="O3" s="99">
        <v>-0.11218291484391038</v>
      </c>
      <c r="P3" s="99">
        <v>8.8106895088521237E-3</v>
      </c>
      <c r="Q3" s="99">
        <v>5.4694866370713982E-2</v>
      </c>
      <c r="R3" s="99">
        <v>-1.1128931243882062E-2</v>
      </c>
      <c r="S3" s="99">
        <v>2.445764788870302E-3</v>
      </c>
      <c r="T3" s="99">
        <v>1.4316127097109133E-2</v>
      </c>
      <c r="U3" s="99">
        <v>7.6769004201933805E-3</v>
      </c>
      <c r="V3" s="99">
        <v>4.9732274843817636E-4</v>
      </c>
      <c r="W3" s="99">
        <v>5.2394206076198356E-4</v>
      </c>
      <c r="X3" s="99">
        <v>5.2676547870668432E-4</v>
      </c>
      <c r="Y3" s="99">
        <v>4.9795692963553091E-4</v>
      </c>
    </row>
    <row r="4" spans="1:25" x14ac:dyDescent="0.2">
      <c r="A4" s="7" t="s">
        <v>95</v>
      </c>
      <c r="B4" s="110">
        <v>12.434284340289476</v>
      </c>
      <c r="C4" s="110">
        <v>17.113193233793169</v>
      </c>
      <c r="D4" s="99">
        <v>0.40342985125919872</v>
      </c>
      <c r="E4" s="110">
        <v>19.470440121897742</v>
      </c>
      <c r="F4" s="99">
        <v>7.633302720947216E-2</v>
      </c>
      <c r="G4" s="110">
        <v>4.6484215631314658</v>
      </c>
      <c r="H4" s="110">
        <v>14.253322106714071</v>
      </c>
      <c r="I4" s="110">
        <v>25.149241386294911</v>
      </c>
      <c r="J4" s="110">
        <v>20.402415661569137</v>
      </c>
      <c r="K4" s="110">
        <v>29.884643060445363</v>
      </c>
      <c r="L4" s="99">
        <v>3.9903544715044542E-3</v>
      </c>
      <c r="M4" s="99">
        <v>-8.4700756271477121E-2</v>
      </c>
      <c r="N4" s="99">
        <v>-3.6092816513303073E-4</v>
      </c>
      <c r="O4" s="99">
        <v>-0.11106492340244573</v>
      </c>
      <c r="P4" s="99">
        <v>3.0223199661073398E-3</v>
      </c>
      <c r="Q4" s="99">
        <v>3.8250497793866328E-2</v>
      </c>
      <c r="R4" s="99">
        <v>-2.3286261445318958E-2</v>
      </c>
      <c r="S4" s="99">
        <v>1.2755010833658174E-3</v>
      </c>
      <c r="T4" s="99">
        <v>2.0205286142950914E-2</v>
      </c>
      <c r="U4" s="99">
        <v>2.8655868324346571E-3</v>
      </c>
      <c r="V4" s="99">
        <v>1.3885644808400767E-4</v>
      </c>
      <c r="W4" s="99">
        <v>1.8357045219608204E-4</v>
      </c>
      <c r="X4" s="99">
        <v>1.8518531306215301E-4</v>
      </c>
      <c r="Y4" s="99">
        <v>1.7501696375854151E-4</v>
      </c>
    </row>
    <row r="5" spans="1:25" x14ac:dyDescent="0.2">
      <c r="A5" s="4" t="s">
        <v>146</v>
      </c>
      <c r="B5" s="110">
        <v>12.005272329528225</v>
      </c>
      <c r="C5" s="110">
        <v>14.71709234644892</v>
      </c>
      <c r="D5" s="99">
        <v>0.40014577450707878</v>
      </c>
      <c r="E5" s="110">
        <v>18.509160537020559</v>
      </c>
      <c r="F5" s="99">
        <v>0.12567554352736865</v>
      </c>
      <c r="G5" s="110">
        <v>6.8015603927513979</v>
      </c>
      <c r="H5" s="110">
        <v>13.390871110730489</v>
      </c>
      <c r="I5" s="110">
        <v>24.590649577122729</v>
      </c>
      <c r="J5" s="110">
        <v>19.128041531925472</v>
      </c>
      <c r="K5" s="110">
        <v>28.21360205313448</v>
      </c>
      <c r="L5" s="99">
        <v>3.7617013647438988E-3</v>
      </c>
      <c r="M5" s="99">
        <v>-4.6152735540390011E-2</v>
      </c>
      <c r="N5" s="99">
        <v>-2.4820097168407436E-4</v>
      </c>
      <c r="O5" s="99">
        <v>-0.11152328559768666</v>
      </c>
      <c r="P5" s="99">
        <v>2.4168285594558274E-3</v>
      </c>
      <c r="Q5" s="99">
        <v>4.7841033663520806E-2</v>
      </c>
      <c r="R5" s="99">
        <v>-9.4630781465172408E-3</v>
      </c>
      <c r="S5" s="99">
        <v>1.911769959425758E-3</v>
      </c>
      <c r="T5" s="99">
        <v>2.8313008631900345E-2</v>
      </c>
      <c r="U5" s="99">
        <v>1.5500169136003128E-3</v>
      </c>
      <c r="V5" s="99">
        <v>2.1281302295817365E-4</v>
      </c>
      <c r="W5" s="99">
        <v>1.8742059387142184E-4</v>
      </c>
      <c r="X5" s="99">
        <v>1.902807325258499E-4</v>
      </c>
      <c r="Y5" s="99">
        <v>2.0304872568592761E-4</v>
      </c>
    </row>
    <row r="6" spans="1:25" x14ac:dyDescent="0.2">
      <c r="A6" s="7" t="s">
        <v>113</v>
      </c>
      <c r="B6" s="110">
        <v>42.930173143338713</v>
      </c>
      <c r="C6" s="110">
        <v>12.631831500307962</v>
      </c>
      <c r="D6" s="99">
        <v>0.84840708019151656</v>
      </c>
      <c r="E6" s="110">
        <v>17.77194288045219</v>
      </c>
      <c r="F6" s="110">
        <v>1.4339845132278064</v>
      </c>
      <c r="G6" s="110">
        <v>12.772875844250798</v>
      </c>
      <c r="H6" s="110">
        <v>16.960551241986003</v>
      </c>
      <c r="I6" s="110">
        <v>29.071199420350052</v>
      </c>
      <c r="J6" s="110">
        <v>24.205705449041393</v>
      </c>
      <c r="K6" s="110">
        <v>36.585456954798154</v>
      </c>
      <c r="L6" s="99">
        <v>0.12985839726516851</v>
      </c>
      <c r="M6" s="99">
        <v>0.86760621682190708</v>
      </c>
      <c r="N6" s="99">
        <v>-1.955727584235856E-4</v>
      </c>
      <c r="O6" s="99">
        <v>-0.10265604882114091</v>
      </c>
      <c r="P6" s="99">
        <v>1.0092158819070579E-2</v>
      </c>
      <c r="Q6" s="99">
        <v>4.975436640171077E-2</v>
      </c>
      <c r="R6" s="99">
        <v>-6.1496508761529733E-2</v>
      </c>
      <c r="S6" s="99">
        <v>9.4740572286734976E-4</v>
      </c>
      <c r="T6" s="99">
        <v>8.0581490952601614E-2</v>
      </c>
      <c r="U6" s="99">
        <v>1.6694071233238795E-3</v>
      </c>
      <c r="V6" s="99">
        <v>1.0112641842425407E-3</v>
      </c>
      <c r="W6" s="99">
        <v>4.9267560880192091E-4</v>
      </c>
      <c r="X6" s="99">
        <v>4.5050472171068054E-4</v>
      </c>
      <c r="Y6" s="99">
        <v>4.1106952479762063E-4</v>
      </c>
    </row>
    <row r="8" spans="1:25" x14ac:dyDescent="0.2">
      <c r="A8" s="4" t="s">
        <v>112</v>
      </c>
      <c r="B8" s="111">
        <v>986.59594693435326</v>
      </c>
      <c r="C8" s="111">
        <v>267.52761365363796</v>
      </c>
      <c r="D8" s="111">
        <v>142.38849014964646</v>
      </c>
      <c r="E8" s="111">
        <v>7923.3637969375304</v>
      </c>
      <c r="F8" s="112">
        <v>16.071611467174506</v>
      </c>
      <c r="G8" s="111">
        <v>11022.882947660359</v>
      </c>
      <c r="H8" s="111">
        <v>1085.3432773904142</v>
      </c>
      <c r="I8" s="111">
        <v>1923.230534097635</v>
      </c>
      <c r="J8" s="111">
        <v>1518.0223828513174</v>
      </c>
      <c r="K8" s="111">
        <v>2037.9279007720361</v>
      </c>
      <c r="L8" s="112">
        <v>2.7836026543781691</v>
      </c>
      <c r="M8" s="112">
        <v>11.928637057332635</v>
      </c>
      <c r="N8" s="112">
        <v>1.9460406544547768E-2</v>
      </c>
      <c r="O8" s="112">
        <v>-11.218291484391038</v>
      </c>
      <c r="P8" s="112">
        <v>0.88106895088521231</v>
      </c>
      <c r="Q8" s="112">
        <v>5.4694866370713981</v>
      </c>
      <c r="R8" s="112">
        <v>-1.1128931243882061</v>
      </c>
      <c r="S8" s="112">
        <v>0.24457647888703021</v>
      </c>
      <c r="T8" s="112">
        <v>1.4316127097109133</v>
      </c>
      <c r="U8" s="112">
        <v>0.76769004201933799</v>
      </c>
      <c r="V8" s="112">
        <v>4.9732274843817634E-2</v>
      </c>
      <c r="W8" s="112">
        <v>5.2394206076198359E-2</v>
      </c>
      <c r="X8" s="112">
        <v>5.267654787066843E-2</v>
      </c>
      <c r="Y8" s="112">
        <v>4.9795692963553094E-2</v>
      </c>
    </row>
    <row r="9" spans="1:25" x14ac:dyDescent="0.2">
      <c r="A9" s="7" t="s">
        <v>95</v>
      </c>
      <c r="B9" s="111">
        <v>1243.4284340289475</v>
      </c>
      <c r="C9" s="111">
        <v>1711.3193233793168</v>
      </c>
      <c r="D9" s="112">
        <v>40.342985125919874</v>
      </c>
      <c r="E9" s="111">
        <v>1947.0440121897741</v>
      </c>
      <c r="F9" s="112">
        <v>7.6333027209472162</v>
      </c>
      <c r="G9" s="111">
        <v>464.84215631314657</v>
      </c>
      <c r="H9" s="111">
        <v>1425.3322106714072</v>
      </c>
      <c r="I9" s="111">
        <v>2514.9241386294912</v>
      </c>
      <c r="J9" s="111">
        <v>2040.2415661569137</v>
      </c>
      <c r="K9" s="111">
        <v>2988.4643060445364</v>
      </c>
      <c r="L9" s="112">
        <v>0.39903544715044542</v>
      </c>
      <c r="M9" s="112">
        <v>-8.4700756271477129</v>
      </c>
      <c r="N9" s="112">
        <v>-3.6092816513303073E-2</v>
      </c>
      <c r="O9" s="112">
        <v>-11.106492340244573</v>
      </c>
      <c r="P9" s="112">
        <v>0.30223199661073397</v>
      </c>
      <c r="Q9" s="112">
        <v>3.8250497793866329</v>
      </c>
      <c r="R9" s="112">
        <v>-2.3286261445318956</v>
      </c>
      <c r="S9" s="112">
        <v>0.12755010833658173</v>
      </c>
      <c r="T9" s="112">
        <v>2.0205286142950913</v>
      </c>
      <c r="U9" s="112">
        <v>0.28655868324346573</v>
      </c>
      <c r="V9" s="112">
        <v>1.3885644808400767E-2</v>
      </c>
      <c r="W9" s="112">
        <v>1.8357045219608206E-2</v>
      </c>
      <c r="X9" s="112">
        <v>1.8518531306215301E-2</v>
      </c>
      <c r="Y9" s="112">
        <v>1.7501696375854151E-2</v>
      </c>
    </row>
    <row r="10" spans="1:25" x14ac:dyDescent="0.2">
      <c r="A10" s="4" t="s">
        <v>146</v>
      </c>
      <c r="B10" s="111">
        <v>1200.5272329528225</v>
      </c>
      <c r="C10" s="111">
        <v>1471.7092346448919</v>
      </c>
      <c r="D10" s="112">
        <v>40.014577450707876</v>
      </c>
      <c r="E10" s="111">
        <v>1850.9160537020559</v>
      </c>
      <c r="F10" s="112">
        <v>12.567554352736865</v>
      </c>
      <c r="G10" s="111">
        <v>680.15603927513985</v>
      </c>
      <c r="H10" s="111">
        <v>1339.0871110730488</v>
      </c>
      <c r="I10" s="111">
        <v>2459.0649577122731</v>
      </c>
      <c r="J10" s="111">
        <v>1912.8041531925471</v>
      </c>
      <c r="K10" s="111">
        <v>2821.3602053134482</v>
      </c>
      <c r="L10" s="112">
        <v>0.3761701364743899</v>
      </c>
      <c r="M10" s="112">
        <v>-4.6152735540390015</v>
      </c>
      <c r="N10" s="112">
        <v>-2.4820097168407437E-2</v>
      </c>
      <c r="O10" s="112">
        <v>-11.152328559768666</v>
      </c>
      <c r="P10" s="112">
        <v>0.24168285594558273</v>
      </c>
      <c r="Q10" s="112">
        <v>4.7841033663520802</v>
      </c>
      <c r="R10" s="112">
        <v>-0.94630781465172409</v>
      </c>
      <c r="S10" s="112">
        <v>0.19117699594257581</v>
      </c>
      <c r="T10" s="112">
        <v>2.8313008631900347</v>
      </c>
      <c r="U10" s="112">
        <v>0.15500169136003128</v>
      </c>
      <c r="V10" s="112">
        <v>2.1281302295817366E-2</v>
      </c>
      <c r="W10" s="112">
        <v>1.8742059387142185E-2</v>
      </c>
      <c r="X10" s="112">
        <v>1.9028073252584991E-2</v>
      </c>
      <c r="Y10" s="112">
        <v>2.0304872568592761E-2</v>
      </c>
    </row>
    <row r="11" spans="1:25" x14ac:dyDescent="0.2">
      <c r="A11" s="7" t="s">
        <v>113</v>
      </c>
      <c r="B11" s="111">
        <v>4293.0173143338716</v>
      </c>
      <c r="C11" s="111">
        <v>1263.1831500307962</v>
      </c>
      <c r="D11" s="112">
        <v>84.840708019151663</v>
      </c>
      <c r="E11" s="111">
        <v>1777.1942880452191</v>
      </c>
      <c r="F11" s="111">
        <v>143.39845132278063</v>
      </c>
      <c r="G11" s="111">
        <v>1277.2875844250798</v>
      </c>
      <c r="H11" s="111">
        <v>1696.0551241986004</v>
      </c>
      <c r="I11" s="111">
        <v>2907.1199420350054</v>
      </c>
      <c r="J11" s="111">
        <v>2420.5705449041393</v>
      </c>
      <c r="K11" s="111">
        <v>3658.5456954798155</v>
      </c>
      <c r="L11" s="112">
        <v>12.985839726516851</v>
      </c>
      <c r="M11" s="112">
        <v>86.760621682190703</v>
      </c>
      <c r="N11" s="112">
        <v>-1.955727584235856E-2</v>
      </c>
      <c r="O11" s="112">
        <v>-10.26560488211409</v>
      </c>
      <c r="P11" s="112">
        <v>1.0092158819070578</v>
      </c>
      <c r="Q11" s="112">
        <v>4.9754366401710772</v>
      </c>
      <c r="R11" s="112">
        <v>-6.1496508761529736</v>
      </c>
      <c r="S11" s="112">
        <v>9.4740572286734978E-2</v>
      </c>
      <c r="T11" s="112">
        <v>8.0581490952601609</v>
      </c>
      <c r="U11" s="112">
        <v>0.16694071233238794</v>
      </c>
      <c r="V11" s="112">
        <v>0.10112641842425407</v>
      </c>
      <c r="W11" s="112">
        <v>4.9267560880192088E-2</v>
      </c>
      <c r="X11" s="112">
        <v>4.5050472171068057E-2</v>
      </c>
      <c r="Y11" s="112">
        <v>4.1106952479762066E-2</v>
      </c>
    </row>
  </sheetData>
  <mergeCells count="1">
    <mergeCell ref="A1:XFD1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DAB6-D04B-4B12-8FFE-B1D7B6F2EA35}">
  <sheetPr>
    <tabColor rgb="FF92D050"/>
  </sheetPr>
  <dimension ref="A1:AG101"/>
  <sheetViews>
    <sheetView tabSelected="1" workbookViewId="0">
      <pane xSplit="1" ySplit="1" topLeftCell="B2" activePane="bottomRight" state="frozen"/>
      <selection activeCell="AC17" sqref="AC17"/>
      <selection pane="topRight" activeCell="AC17" sqref="AC17"/>
      <selection pane="bottomLeft" activeCell="AC17" sqref="AC17"/>
      <selection pane="bottomRight" activeCell="L29" sqref="L29"/>
    </sheetView>
  </sheetViews>
  <sheetFormatPr defaultRowHeight="12.75" x14ac:dyDescent="0.2"/>
  <cols>
    <col min="1" max="1" width="9" customWidth="1"/>
    <col min="2" max="3" width="9.5703125" style="97" bestFit="1" customWidth="1"/>
    <col min="4" max="4" width="8.85546875" style="97" customWidth="1"/>
    <col min="5" max="5" width="9" style="98" customWidth="1"/>
    <col min="6" max="6" width="8.42578125" style="97" customWidth="1"/>
    <col min="7" max="7" width="9.5703125" style="97" bestFit="1" customWidth="1"/>
    <col min="8" max="8" width="8.42578125" style="97" customWidth="1"/>
    <col min="9" max="10" width="6.7109375" bestFit="1" customWidth="1"/>
    <col min="11" max="14" width="6.140625" customWidth="1"/>
    <col min="15" max="15" width="6.7109375" bestFit="1" customWidth="1"/>
    <col min="16" max="16" width="6.140625" customWidth="1"/>
    <col min="17" max="17" width="8.42578125" customWidth="1"/>
    <col min="18" max="19" width="8.42578125" style="97" customWidth="1"/>
    <col min="20" max="20" width="8.7109375" style="97" customWidth="1"/>
    <col min="21" max="21" width="8" style="97" customWidth="1"/>
    <col min="22" max="22" width="8.140625" style="97" customWidth="1"/>
    <col min="23" max="23" width="8.42578125" style="97" customWidth="1"/>
    <col min="24" max="24" width="8.7109375" style="97" customWidth="1"/>
    <col min="25" max="25" width="8.42578125" style="97" customWidth="1"/>
    <col min="26" max="27" width="9.140625" style="87"/>
    <col min="28" max="28" width="8.28515625" style="97" customWidth="1"/>
    <col min="29" max="30" width="8.140625" style="97" customWidth="1"/>
    <col min="31" max="33" width="7.85546875" style="97" bestFit="1" customWidth="1"/>
  </cols>
  <sheetData>
    <row r="1" spans="1:33" ht="42.75" thickBot="1" x14ac:dyDescent="0.25">
      <c r="A1" s="1" t="s">
        <v>131</v>
      </c>
      <c r="B1" s="79" t="s">
        <v>170</v>
      </c>
      <c r="C1" s="79" t="s">
        <v>171</v>
      </c>
      <c r="D1" s="79" t="s">
        <v>172</v>
      </c>
      <c r="E1" s="80" t="s">
        <v>218</v>
      </c>
      <c r="F1" s="79" t="s">
        <v>174</v>
      </c>
      <c r="G1" s="79" t="s">
        <v>175</v>
      </c>
      <c r="H1" s="79" t="s">
        <v>177</v>
      </c>
      <c r="I1" s="1"/>
      <c r="J1" s="1"/>
      <c r="K1" s="1"/>
      <c r="L1" s="1"/>
      <c r="M1" s="1"/>
      <c r="N1" s="1"/>
      <c r="O1" s="1"/>
      <c r="P1" s="1"/>
      <c r="Q1" s="50" t="s">
        <v>176</v>
      </c>
      <c r="R1" s="50" t="s">
        <v>178</v>
      </c>
      <c r="S1" s="79" t="s">
        <v>179</v>
      </c>
      <c r="T1" s="79" t="s">
        <v>180</v>
      </c>
      <c r="U1" s="79" t="s">
        <v>181</v>
      </c>
      <c r="V1" s="79" t="s">
        <v>182</v>
      </c>
      <c r="W1" s="79" t="s">
        <v>183</v>
      </c>
      <c r="X1" s="79" t="s">
        <v>184</v>
      </c>
      <c r="Y1" s="79" t="s">
        <v>185</v>
      </c>
      <c r="Z1" s="81" t="s">
        <v>19</v>
      </c>
      <c r="AA1" s="81" t="s">
        <v>13</v>
      </c>
      <c r="AB1" s="79" t="s">
        <v>186</v>
      </c>
      <c r="AC1" s="79" t="s">
        <v>187</v>
      </c>
      <c r="AD1" s="79" t="s">
        <v>188</v>
      </c>
      <c r="AE1" s="79" t="s">
        <v>189</v>
      </c>
      <c r="AF1" s="79" t="s">
        <v>190</v>
      </c>
      <c r="AG1" s="79" t="s">
        <v>191</v>
      </c>
    </row>
    <row r="2" spans="1:33" x14ac:dyDescent="0.2">
      <c r="A2" s="82"/>
      <c r="B2" s="83"/>
      <c r="C2" s="84"/>
      <c r="D2" s="83"/>
      <c r="E2" s="85"/>
      <c r="F2" s="83"/>
      <c r="G2" s="83"/>
      <c r="H2" s="83"/>
      <c r="I2" s="86"/>
      <c r="J2" s="86"/>
      <c r="K2" s="86"/>
      <c r="L2" s="86"/>
      <c r="M2" s="86"/>
      <c r="N2" s="86"/>
      <c r="O2" s="86"/>
      <c r="P2" s="86"/>
      <c r="Q2" s="36"/>
      <c r="R2" s="83"/>
      <c r="S2" s="83"/>
      <c r="T2" s="83"/>
      <c r="U2" s="83"/>
      <c r="V2" s="83"/>
      <c r="W2" s="83"/>
      <c r="X2" s="83"/>
      <c r="Y2" s="83"/>
      <c r="AB2" s="83"/>
      <c r="AC2" s="83"/>
      <c r="AD2" s="83"/>
      <c r="AE2" s="83"/>
      <c r="AF2" s="83"/>
      <c r="AG2" s="83"/>
    </row>
    <row r="3" spans="1:33" x14ac:dyDescent="0.2">
      <c r="A3" s="4" t="s">
        <v>112</v>
      </c>
      <c r="B3" s="111">
        <v>986.59594693435326</v>
      </c>
      <c r="C3" s="111">
        <v>267.52761365363796</v>
      </c>
      <c r="D3" s="111">
        <v>142.38849014964646</v>
      </c>
      <c r="E3" s="111">
        <v>7923.3637969375304</v>
      </c>
      <c r="F3" s="112">
        <v>16.071611467174506</v>
      </c>
      <c r="G3" s="113">
        <v>11022.882947660359</v>
      </c>
      <c r="H3" s="111">
        <v>1923.230534097635</v>
      </c>
      <c r="I3" s="89"/>
      <c r="J3" s="89"/>
      <c r="K3" s="89"/>
      <c r="L3" s="89"/>
      <c r="M3" s="89"/>
      <c r="N3" s="89"/>
      <c r="O3" s="89"/>
      <c r="P3" s="89"/>
      <c r="Q3" s="111">
        <v>1085.3432773904142</v>
      </c>
      <c r="R3" s="111">
        <v>1518.0223828513174</v>
      </c>
      <c r="S3" s="111">
        <v>2037.9279007720361</v>
      </c>
      <c r="T3" s="112">
        <v>2.7836026543781691</v>
      </c>
      <c r="U3" s="112">
        <v>11.928637057332635</v>
      </c>
      <c r="V3" s="112">
        <v>1.9460406544547768E-2</v>
      </c>
      <c r="W3" s="112">
        <v>-11.218291484391038</v>
      </c>
      <c r="X3" s="112">
        <v>0.88106895088521231</v>
      </c>
      <c r="Y3" s="112">
        <v>5.4694866370713981</v>
      </c>
      <c r="Z3" s="112">
        <v>-1.1128931243882061</v>
      </c>
      <c r="AA3" s="112">
        <v>0.24457647888703021</v>
      </c>
      <c r="AB3" s="112">
        <v>1.4316127097109133</v>
      </c>
      <c r="AC3" s="112">
        <v>0.76769004201933799</v>
      </c>
      <c r="AD3" s="112">
        <v>4.9732274843817634E-2</v>
      </c>
      <c r="AE3" s="112">
        <v>5.2394206076198359E-2</v>
      </c>
      <c r="AF3" s="112">
        <v>5.267654787066843E-2</v>
      </c>
      <c r="AG3" s="112">
        <v>4.9795692963553094E-2</v>
      </c>
    </row>
    <row r="4" spans="1:33" x14ac:dyDescent="0.2">
      <c r="A4" s="7" t="s">
        <v>95</v>
      </c>
      <c r="B4" s="111">
        <v>1243.4284340289475</v>
      </c>
      <c r="C4" s="111">
        <v>1711.3193233793168</v>
      </c>
      <c r="D4" s="112">
        <v>40.342985125919874</v>
      </c>
      <c r="E4" s="111">
        <v>1947.0440121897741</v>
      </c>
      <c r="F4" s="112">
        <v>7.6333027209472162</v>
      </c>
      <c r="G4" s="113">
        <v>464.84215631314657</v>
      </c>
      <c r="H4" s="111">
        <v>2514.9241386294912</v>
      </c>
      <c r="I4" s="89"/>
      <c r="J4" s="89"/>
      <c r="K4" s="89"/>
      <c r="L4" s="89"/>
      <c r="M4" s="89"/>
      <c r="N4" s="89"/>
      <c r="O4" s="89"/>
      <c r="P4" s="89"/>
      <c r="Q4" s="111">
        <v>1425.3322106714072</v>
      </c>
      <c r="R4" s="111">
        <v>2040.2415661569137</v>
      </c>
      <c r="S4" s="111">
        <v>2988.4643060445364</v>
      </c>
      <c r="T4" s="112">
        <v>0.39903544715044542</v>
      </c>
      <c r="U4" s="112">
        <v>-8.4700756271477129</v>
      </c>
      <c r="V4" s="112">
        <v>-3.6092816513303073E-2</v>
      </c>
      <c r="W4" s="112">
        <v>-11.106492340244573</v>
      </c>
      <c r="X4" s="112">
        <v>0.30223199661073397</v>
      </c>
      <c r="Y4" s="112">
        <v>3.8250497793866329</v>
      </c>
      <c r="Z4" s="112">
        <v>-2.3286261445318956</v>
      </c>
      <c r="AA4" s="112">
        <v>0.12755010833658173</v>
      </c>
      <c r="AB4" s="112">
        <v>2.0205286142950913</v>
      </c>
      <c r="AC4" s="112">
        <v>0.28655868324346573</v>
      </c>
      <c r="AD4" s="112">
        <v>1.3885644808400767E-2</v>
      </c>
      <c r="AE4" s="112">
        <v>1.8357045219608206E-2</v>
      </c>
      <c r="AF4" s="112">
        <v>1.8518531306215301E-2</v>
      </c>
      <c r="AG4" s="112">
        <v>1.7501696375854151E-2</v>
      </c>
    </row>
    <row r="5" spans="1:33" x14ac:dyDescent="0.2">
      <c r="A5" s="4" t="s">
        <v>146</v>
      </c>
      <c r="B5" s="111">
        <v>1200.5272329528225</v>
      </c>
      <c r="C5" s="111">
        <v>1471.7092346448919</v>
      </c>
      <c r="D5" s="112">
        <v>40.014577450707876</v>
      </c>
      <c r="E5" s="111">
        <v>1850.9160537020559</v>
      </c>
      <c r="F5" s="112">
        <v>12.567554352736865</v>
      </c>
      <c r="G5" s="113">
        <v>680.15603927513985</v>
      </c>
      <c r="H5" s="111">
        <v>2459.0649577122731</v>
      </c>
      <c r="I5" s="89"/>
      <c r="J5" s="89"/>
      <c r="K5" s="89"/>
      <c r="L5" s="89"/>
      <c r="M5" s="89"/>
      <c r="N5" s="89"/>
      <c r="O5" s="89"/>
      <c r="P5" s="89"/>
      <c r="Q5" s="111">
        <v>1339.0871110730488</v>
      </c>
      <c r="R5" s="111">
        <v>1912.8041531925471</v>
      </c>
      <c r="S5" s="111">
        <v>2821.3602053134482</v>
      </c>
      <c r="T5" s="112">
        <v>0.3761701364743899</v>
      </c>
      <c r="U5" s="112">
        <v>-4.6152735540390015</v>
      </c>
      <c r="V5" s="112">
        <v>-2.4820097168407437E-2</v>
      </c>
      <c r="W5" s="112">
        <v>-11.152328559768666</v>
      </c>
      <c r="X5" s="112">
        <v>0.24168285594558273</v>
      </c>
      <c r="Y5" s="112">
        <v>4.7841033663520802</v>
      </c>
      <c r="Z5" s="112">
        <v>-0.94630781465172409</v>
      </c>
      <c r="AA5" s="112">
        <v>0.19117699594257581</v>
      </c>
      <c r="AB5" s="112">
        <v>2.8313008631900347</v>
      </c>
      <c r="AC5" s="112">
        <v>0.15500169136003128</v>
      </c>
      <c r="AD5" s="112">
        <v>2.1281302295817366E-2</v>
      </c>
      <c r="AE5" s="112">
        <v>1.8742059387142185E-2</v>
      </c>
      <c r="AF5" s="112">
        <v>1.9028073252584991E-2</v>
      </c>
      <c r="AG5" s="112">
        <v>2.0304872568592761E-2</v>
      </c>
    </row>
    <row r="6" spans="1:33" x14ac:dyDescent="0.2">
      <c r="A6" s="7" t="s">
        <v>113</v>
      </c>
      <c r="B6" s="111">
        <v>4293.0173143338716</v>
      </c>
      <c r="C6" s="111">
        <v>1263.1831500307962</v>
      </c>
      <c r="D6" s="112">
        <v>84.840708019151663</v>
      </c>
      <c r="E6" s="111">
        <v>1777.1942880452191</v>
      </c>
      <c r="F6" s="111">
        <v>143.39845132278063</v>
      </c>
      <c r="G6" s="113">
        <v>1277.2875844250798</v>
      </c>
      <c r="H6" s="111">
        <v>2907.1199420350054</v>
      </c>
      <c r="I6" s="89"/>
      <c r="J6" s="89"/>
      <c r="K6" s="89"/>
      <c r="L6" s="89"/>
      <c r="M6" s="89"/>
      <c r="N6" s="89"/>
      <c r="O6" s="89"/>
      <c r="P6" s="89"/>
      <c r="Q6" s="111">
        <v>1696.0551241986004</v>
      </c>
      <c r="R6" s="111">
        <v>2420.5705449041393</v>
      </c>
      <c r="S6" s="111">
        <v>3658.5456954798155</v>
      </c>
      <c r="T6" s="112">
        <v>12.985839726516851</v>
      </c>
      <c r="U6" s="112">
        <v>86.760621682190703</v>
      </c>
      <c r="V6" s="112">
        <v>-1.955727584235856E-2</v>
      </c>
      <c r="W6" s="112">
        <v>-10.26560488211409</v>
      </c>
      <c r="X6" s="112">
        <v>1.0092158819070578</v>
      </c>
      <c r="Y6" s="112">
        <v>4.9754366401710772</v>
      </c>
      <c r="Z6" s="112">
        <v>-6.1496508761529736</v>
      </c>
      <c r="AA6" s="112">
        <v>9.4740572286734978E-2</v>
      </c>
      <c r="AB6" s="112">
        <v>8.0581490952601609</v>
      </c>
      <c r="AC6" s="112">
        <v>0.16694071233238794</v>
      </c>
      <c r="AD6" s="112">
        <v>0.10112641842425407</v>
      </c>
      <c r="AE6" s="112">
        <v>4.9267560880192088E-2</v>
      </c>
      <c r="AF6" s="112">
        <v>4.5050472171068057E-2</v>
      </c>
      <c r="AG6" s="112">
        <v>4.1106952479762066E-2</v>
      </c>
    </row>
    <row r="7" spans="1:33" x14ac:dyDescent="0.2">
      <c r="I7" s="89"/>
      <c r="J7" s="89"/>
      <c r="K7" s="89"/>
      <c r="L7" s="89"/>
      <c r="M7" s="89"/>
      <c r="N7" s="89"/>
      <c r="O7" s="89"/>
      <c r="P7" s="89"/>
      <c r="Q7" s="89"/>
      <c r="R7" s="91"/>
      <c r="S7" s="88"/>
      <c r="T7" s="90"/>
      <c r="U7" s="88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</row>
    <row r="8" spans="1:33" x14ac:dyDescent="0.2">
      <c r="I8" s="89"/>
      <c r="J8" s="89"/>
      <c r="K8" s="89"/>
      <c r="L8" s="89"/>
      <c r="M8" s="89"/>
      <c r="N8" s="89"/>
      <c r="O8" s="89"/>
      <c r="P8" s="89"/>
      <c r="Q8" s="89"/>
      <c r="R8" s="91"/>
      <c r="S8" s="88"/>
      <c r="T8" s="88"/>
      <c r="U8" s="88"/>
      <c r="V8" s="90"/>
      <c r="W8" s="90"/>
      <c r="X8" s="88"/>
      <c r="Y8" s="90"/>
      <c r="Z8" s="90"/>
      <c r="AA8" s="90"/>
      <c r="AB8" s="90"/>
      <c r="AC8" s="90"/>
      <c r="AD8" s="90"/>
      <c r="AE8" s="90"/>
      <c r="AF8" s="90"/>
      <c r="AG8" s="90"/>
    </row>
    <row r="9" spans="1:33" x14ac:dyDescent="0.2">
      <c r="I9" s="89"/>
      <c r="J9" s="89"/>
      <c r="K9" s="89"/>
      <c r="L9" s="89"/>
      <c r="M9" s="89"/>
      <c r="N9" s="89"/>
      <c r="O9" s="89"/>
      <c r="P9" s="89"/>
      <c r="Q9" s="89"/>
      <c r="R9" s="91"/>
      <c r="S9" s="88"/>
      <c r="T9" s="88"/>
      <c r="U9" s="88"/>
      <c r="V9" s="90"/>
      <c r="W9" s="90"/>
      <c r="X9" s="90"/>
      <c r="Y9" s="88"/>
      <c r="Z9" s="90"/>
      <c r="AA9" s="90"/>
      <c r="AB9" s="88"/>
      <c r="AC9" s="90"/>
      <c r="AD9" s="90"/>
      <c r="AE9" s="90"/>
      <c r="AF9" s="90"/>
      <c r="AG9" s="90"/>
    </row>
    <row r="10" spans="1:33" x14ac:dyDescent="0.2">
      <c r="I10" s="89"/>
      <c r="J10" s="89"/>
      <c r="K10" s="89"/>
      <c r="L10" s="89"/>
      <c r="M10" s="89"/>
      <c r="N10" s="89"/>
      <c r="O10" s="89"/>
      <c r="P10" s="89"/>
      <c r="Q10" s="89"/>
      <c r="R10" s="91"/>
      <c r="S10" s="88"/>
      <c r="T10" s="88"/>
      <c r="U10" s="88"/>
      <c r="V10" s="90"/>
      <c r="W10" s="90"/>
      <c r="X10" s="90"/>
      <c r="Y10" s="88"/>
      <c r="Z10" s="90"/>
      <c r="AA10" s="90"/>
      <c r="AB10" s="90"/>
      <c r="AC10" s="90"/>
      <c r="AD10" s="90"/>
      <c r="AE10" s="90"/>
      <c r="AF10" s="90"/>
      <c r="AG10" s="90"/>
    </row>
    <row r="11" spans="1:33" x14ac:dyDescent="0.2">
      <c r="I11" s="89"/>
      <c r="J11" s="89"/>
      <c r="K11" s="89"/>
      <c r="L11" s="89"/>
      <c r="M11" s="89"/>
      <c r="N11" s="89"/>
      <c r="O11" s="89"/>
      <c r="P11" s="89"/>
      <c r="Q11" s="89"/>
      <c r="R11" s="88"/>
      <c r="S11" s="88"/>
      <c r="T11" s="88"/>
      <c r="U11" s="88"/>
      <c r="V11" s="90"/>
      <c r="W11" s="90"/>
      <c r="X11" s="90"/>
      <c r="Y11" s="88"/>
      <c r="Z11" s="90"/>
      <c r="AA11" s="90"/>
      <c r="AB11" s="90"/>
      <c r="AC11" s="90"/>
      <c r="AD11" s="90"/>
      <c r="AE11" s="90"/>
      <c r="AF11" s="90"/>
      <c r="AG11" s="90"/>
    </row>
    <row r="12" spans="1:33" x14ac:dyDescent="0.2">
      <c r="I12" s="89"/>
      <c r="J12" s="89"/>
      <c r="K12" s="89"/>
      <c r="L12" s="89"/>
      <c r="M12" s="89"/>
      <c r="N12" s="89"/>
      <c r="O12" s="89"/>
      <c r="P12" s="89"/>
      <c r="Q12" s="89"/>
      <c r="R12" s="88"/>
      <c r="S12" s="88"/>
      <c r="T12" s="90"/>
      <c r="U12" s="88"/>
      <c r="V12" s="90"/>
      <c r="W12" s="90"/>
      <c r="X12" s="90"/>
      <c r="Y12" s="88"/>
      <c r="Z12" s="90"/>
      <c r="AA12" s="90"/>
      <c r="AB12" s="90"/>
      <c r="AC12" s="90"/>
      <c r="AD12" s="90"/>
      <c r="AE12" s="90"/>
      <c r="AF12" s="90"/>
      <c r="AG12" s="90"/>
    </row>
    <row r="13" spans="1:33" x14ac:dyDescent="0.2">
      <c r="I13" s="89"/>
      <c r="J13" s="89"/>
      <c r="K13" s="89"/>
      <c r="L13" s="89"/>
      <c r="M13" s="89"/>
      <c r="N13" s="89"/>
      <c r="O13" s="89"/>
      <c r="P13" s="89"/>
      <c r="Q13" s="89"/>
      <c r="R13" s="88"/>
      <c r="S13" s="88"/>
      <c r="T13" s="88"/>
      <c r="U13" s="88"/>
      <c r="V13" s="90"/>
      <c r="W13" s="90"/>
      <c r="X13" s="90"/>
      <c r="Y13" s="88"/>
      <c r="Z13" s="90"/>
      <c r="AA13" s="90"/>
      <c r="AB13" s="90"/>
      <c r="AC13" s="90"/>
      <c r="AD13" s="90"/>
      <c r="AE13" s="90"/>
      <c r="AF13" s="90"/>
      <c r="AG13" s="90"/>
    </row>
    <row r="14" spans="1:33" x14ac:dyDescent="0.2">
      <c r="I14" s="89"/>
      <c r="J14" s="89"/>
      <c r="K14" s="89"/>
      <c r="L14" s="89"/>
      <c r="M14" s="89"/>
      <c r="N14" s="89"/>
      <c r="O14" s="89"/>
      <c r="P14" s="89"/>
      <c r="Q14" s="89"/>
      <c r="R14" s="88"/>
      <c r="S14" s="88"/>
      <c r="T14" s="90"/>
      <c r="U14" s="88"/>
      <c r="V14" s="90"/>
      <c r="W14" s="90"/>
      <c r="X14" s="90"/>
      <c r="Y14" s="88"/>
      <c r="Z14" s="90"/>
      <c r="AA14" s="90"/>
      <c r="AB14" s="90"/>
      <c r="AC14" s="90"/>
      <c r="AD14" s="90"/>
      <c r="AE14" s="90"/>
      <c r="AF14" s="90"/>
      <c r="AG14" s="90"/>
    </row>
    <row r="15" spans="1:33" x14ac:dyDescent="0.2">
      <c r="I15" s="89"/>
      <c r="J15" s="89"/>
      <c r="K15" s="89"/>
      <c r="L15" s="89"/>
      <c r="M15" s="89"/>
      <c r="N15" s="89"/>
      <c r="O15" s="89"/>
      <c r="P15" s="89"/>
      <c r="Q15" s="89"/>
      <c r="R15" s="88"/>
      <c r="S15" s="88"/>
      <c r="T15" s="90"/>
      <c r="U15" s="88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</row>
    <row r="16" spans="1:33" x14ac:dyDescent="0.2">
      <c r="I16" s="89"/>
      <c r="J16" s="89"/>
      <c r="K16" s="89"/>
      <c r="L16" s="89"/>
      <c r="M16" s="89"/>
      <c r="N16" s="89"/>
      <c r="O16" s="89"/>
      <c r="P16" s="89"/>
      <c r="Q16" s="89"/>
      <c r="R16" s="88"/>
      <c r="S16" s="88"/>
      <c r="T16" s="90"/>
      <c r="U16" s="88"/>
      <c r="V16" s="90"/>
      <c r="W16" s="90"/>
      <c r="X16" s="90"/>
      <c r="Y16" s="88"/>
      <c r="Z16" s="90"/>
      <c r="AA16" s="90"/>
      <c r="AB16" s="90"/>
      <c r="AC16" s="90"/>
      <c r="AD16" s="90"/>
      <c r="AE16" s="90"/>
      <c r="AF16" s="90"/>
      <c r="AG16" s="90"/>
    </row>
    <row r="17" spans="9:33" x14ac:dyDescent="0.2">
      <c r="I17" s="89"/>
      <c r="J17" s="89"/>
      <c r="K17" s="89"/>
      <c r="L17" s="89"/>
      <c r="M17" s="89"/>
      <c r="N17" s="89"/>
      <c r="O17" s="89"/>
      <c r="P17" s="89"/>
      <c r="Q17" s="89"/>
      <c r="R17" s="88"/>
      <c r="S17" s="88"/>
      <c r="T17" s="90"/>
      <c r="U17" s="88"/>
      <c r="V17" s="90"/>
      <c r="W17" s="90"/>
      <c r="X17" s="90"/>
      <c r="Y17" s="88"/>
      <c r="Z17" s="90"/>
      <c r="AA17" s="90"/>
      <c r="AB17" s="90"/>
      <c r="AC17" s="90"/>
      <c r="AD17" s="90"/>
      <c r="AE17" s="90"/>
      <c r="AF17" s="90"/>
      <c r="AG17" s="90"/>
    </row>
    <row r="18" spans="9:33" x14ac:dyDescent="0.2">
      <c r="I18" s="89"/>
      <c r="J18" s="89"/>
      <c r="K18" s="89"/>
      <c r="L18" s="89"/>
      <c r="M18" s="89"/>
      <c r="N18" s="89"/>
      <c r="O18" s="89"/>
      <c r="P18" s="89"/>
      <c r="Q18" s="89"/>
      <c r="R18" s="88"/>
      <c r="S18" s="88"/>
      <c r="T18" s="90"/>
      <c r="U18" s="88"/>
      <c r="V18" s="90"/>
      <c r="W18" s="90"/>
      <c r="X18" s="90"/>
      <c r="Y18" s="88"/>
      <c r="Z18" s="90"/>
      <c r="AA18" s="90"/>
      <c r="AB18" s="90"/>
      <c r="AC18" s="90"/>
      <c r="AD18" s="90"/>
      <c r="AE18" s="90"/>
      <c r="AF18" s="90"/>
      <c r="AG18" s="90"/>
    </row>
    <row r="19" spans="9:33" x14ac:dyDescent="0.2">
      <c r="I19" s="89"/>
      <c r="J19" s="89"/>
      <c r="K19" s="89"/>
      <c r="L19" s="89"/>
      <c r="M19" s="89"/>
      <c r="N19" s="89"/>
      <c r="O19" s="89"/>
      <c r="P19" s="89"/>
      <c r="Q19" s="89"/>
      <c r="R19" s="88"/>
      <c r="S19" s="88"/>
      <c r="T19" s="90"/>
      <c r="U19" s="88"/>
      <c r="V19" s="90"/>
      <c r="W19" s="90"/>
      <c r="X19" s="90"/>
      <c r="Y19" s="88"/>
      <c r="Z19" s="90"/>
      <c r="AA19" s="90"/>
      <c r="AB19" s="90"/>
      <c r="AC19" s="90"/>
      <c r="AD19" s="90"/>
      <c r="AE19" s="90"/>
      <c r="AF19" s="90"/>
      <c r="AG19" s="90"/>
    </row>
    <row r="20" spans="9:33" x14ac:dyDescent="0.2">
      <c r="I20" s="89"/>
      <c r="J20" s="89"/>
      <c r="K20" s="89"/>
      <c r="L20" s="89"/>
      <c r="M20" s="89"/>
      <c r="N20" s="89"/>
      <c r="O20" s="89"/>
      <c r="P20" s="89"/>
      <c r="Q20" s="89"/>
      <c r="R20" s="91"/>
      <c r="S20" s="91"/>
      <c r="T20" s="88"/>
      <c r="U20" s="88"/>
      <c r="V20" s="90"/>
      <c r="W20" s="90"/>
      <c r="X20" s="90"/>
      <c r="Y20" s="88"/>
      <c r="Z20" s="90"/>
      <c r="AA20" s="90"/>
      <c r="AB20" s="88"/>
      <c r="AC20" s="90"/>
      <c r="AD20" s="90"/>
      <c r="AE20" s="88"/>
      <c r="AF20" s="88"/>
      <c r="AG20" s="88"/>
    </row>
    <row r="21" spans="9:33" x14ac:dyDescent="0.2">
      <c r="I21" s="89"/>
      <c r="J21" s="89"/>
      <c r="K21" s="89"/>
      <c r="L21" s="89"/>
      <c r="M21" s="89"/>
      <c r="N21" s="89"/>
      <c r="O21" s="89"/>
      <c r="P21" s="89"/>
      <c r="Q21" s="89"/>
      <c r="R21" s="91"/>
      <c r="S21" s="91"/>
      <c r="T21" s="88"/>
      <c r="U21" s="88"/>
      <c r="V21" s="90"/>
      <c r="W21" s="90"/>
      <c r="X21" s="88"/>
      <c r="Y21" s="88"/>
      <c r="Z21" s="90"/>
      <c r="AA21" s="90"/>
      <c r="AB21" s="88"/>
      <c r="AC21" s="90"/>
      <c r="AD21" s="90"/>
      <c r="AE21" s="88"/>
      <c r="AF21" s="88"/>
      <c r="AG21" s="88"/>
    </row>
    <row r="22" spans="9:33" x14ac:dyDescent="0.2">
      <c r="I22" s="89"/>
      <c r="J22" s="89"/>
      <c r="K22" s="89"/>
      <c r="L22" s="89"/>
      <c r="M22" s="89"/>
      <c r="N22" s="89"/>
      <c r="O22" s="89"/>
      <c r="P22" s="89"/>
      <c r="Q22" s="89"/>
      <c r="R22" s="88"/>
      <c r="S22" s="88"/>
      <c r="T22" s="90"/>
      <c r="U22" s="88"/>
      <c r="V22" s="90"/>
      <c r="W22" s="90"/>
      <c r="X22" s="90"/>
      <c r="Y22" s="88"/>
      <c r="Z22" s="90"/>
      <c r="AA22" s="90"/>
      <c r="AB22" s="90"/>
      <c r="AC22" s="90"/>
      <c r="AD22" s="90"/>
      <c r="AE22" s="90"/>
      <c r="AF22" s="90"/>
      <c r="AG22" s="90"/>
    </row>
    <row r="23" spans="9:33" x14ac:dyDescent="0.2">
      <c r="I23" s="89"/>
      <c r="J23" s="89"/>
      <c r="K23" s="89"/>
      <c r="L23" s="89"/>
      <c r="M23" s="89"/>
      <c r="N23" s="89"/>
      <c r="O23" s="89"/>
      <c r="P23" s="89"/>
      <c r="Q23" s="89"/>
      <c r="R23" s="91"/>
      <c r="S23" s="88"/>
      <c r="T23" s="88"/>
      <c r="U23" s="88"/>
      <c r="V23" s="90"/>
      <c r="W23" s="90"/>
      <c r="X23" s="90"/>
      <c r="Y23" s="88"/>
      <c r="Z23" s="90"/>
      <c r="AA23" s="90"/>
      <c r="AB23" s="90"/>
      <c r="AC23" s="90"/>
      <c r="AD23" s="90"/>
      <c r="AE23" s="90"/>
      <c r="AF23" s="90"/>
      <c r="AG23" s="90"/>
    </row>
    <row r="24" spans="9:33" x14ac:dyDescent="0.2">
      <c r="I24" s="89"/>
      <c r="J24" s="89"/>
      <c r="K24" s="89"/>
      <c r="L24" s="89"/>
      <c r="M24" s="89"/>
      <c r="N24" s="89"/>
      <c r="O24" s="89"/>
      <c r="P24" s="89"/>
      <c r="Q24" s="89"/>
      <c r="R24" s="88"/>
      <c r="S24" s="88"/>
      <c r="T24" s="90"/>
      <c r="U24" s="88"/>
      <c r="V24" s="90"/>
      <c r="W24" s="90"/>
      <c r="X24" s="90"/>
      <c r="Y24" s="88"/>
      <c r="Z24" s="90"/>
      <c r="AA24" s="90"/>
      <c r="AB24" s="90"/>
      <c r="AC24" s="90"/>
      <c r="AD24" s="90"/>
      <c r="AE24" s="90"/>
      <c r="AF24" s="90"/>
      <c r="AG24" s="90"/>
    </row>
    <row r="25" spans="9:33" x14ac:dyDescent="0.2">
      <c r="I25" s="89"/>
      <c r="J25" s="89"/>
      <c r="K25" s="89"/>
      <c r="L25" s="89"/>
      <c r="M25" s="89"/>
      <c r="N25" s="89"/>
      <c r="O25" s="89"/>
      <c r="P25" s="89"/>
      <c r="Q25" s="89"/>
      <c r="R25" s="88"/>
      <c r="S25" s="88"/>
      <c r="T25" s="90"/>
      <c r="U25" s="88"/>
      <c r="V25" s="90"/>
      <c r="W25" s="90"/>
      <c r="X25" s="90"/>
      <c r="Y25" s="88"/>
      <c r="Z25" s="90"/>
      <c r="AA25" s="90"/>
      <c r="AB25" s="90"/>
      <c r="AC25" s="90"/>
      <c r="AD25" s="90"/>
      <c r="AE25" s="90"/>
      <c r="AF25" s="90"/>
      <c r="AG25" s="90"/>
    </row>
    <row r="26" spans="9:33" x14ac:dyDescent="0.2">
      <c r="I26" s="89"/>
      <c r="J26" s="89"/>
      <c r="K26" s="89"/>
      <c r="L26" s="89"/>
      <c r="M26" s="89"/>
      <c r="N26" s="89"/>
      <c r="O26" s="89"/>
      <c r="P26" s="89"/>
      <c r="Q26" s="89"/>
      <c r="R26" s="91"/>
      <c r="S26" s="88"/>
      <c r="T26" s="88"/>
      <c r="U26" s="88"/>
      <c r="V26" s="90"/>
      <c r="W26" s="90"/>
      <c r="X26" s="88"/>
      <c r="Y26" s="88"/>
      <c r="Z26" s="90"/>
      <c r="AA26" s="90"/>
      <c r="AB26" s="90"/>
      <c r="AC26" s="90"/>
      <c r="AD26" s="90"/>
      <c r="AE26" s="90"/>
      <c r="AF26" s="90"/>
      <c r="AG26" s="90"/>
    </row>
    <row r="27" spans="9:33" x14ac:dyDescent="0.2">
      <c r="I27" s="89"/>
      <c r="J27" s="89"/>
      <c r="K27" s="89"/>
      <c r="L27" s="89"/>
      <c r="M27" s="89"/>
      <c r="N27" s="89"/>
      <c r="O27" s="89"/>
      <c r="P27" s="89"/>
      <c r="Q27" s="89"/>
      <c r="R27" s="91"/>
      <c r="S27" s="91"/>
      <c r="T27" s="88"/>
      <c r="U27" s="88"/>
      <c r="V27" s="90"/>
      <c r="W27" s="90"/>
      <c r="X27" s="90"/>
      <c r="Y27" s="88"/>
      <c r="Z27" s="90"/>
      <c r="AA27" s="90"/>
      <c r="AB27" s="88"/>
      <c r="AC27" s="90"/>
      <c r="AD27" s="90"/>
      <c r="AE27" s="90"/>
      <c r="AF27" s="90"/>
      <c r="AG27" s="90"/>
    </row>
    <row r="28" spans="9:33" x14ac:dyDescent="0.2">
      <c r="I28" s="89"/>
      <c r="J28" s="89"/>
      <c r="K28" s="89"/>
      <c r="L28" s="89"/>
      <c r="M28" s="89"/>
      <c r="N28" s="89"/>
      <c r="O28" s="89"/>
      <c r="P28" s="89"/>
      <c r="Q28" s="89"/>
      <c r="R28" s="88"/>
      <c r="S28" s="88"/>
      <c r="T28" s="88"/>
      <c r="U28" s="88"/>
      <c r="V28" s="90"/>
      <c r="W28" s="90"/>
      <c r="X28" s="90"/>
      <c r="Y28" s="88"/>
      <c r="Z28" s="90"/>
      <c r="AA28" s="90"/>
      <c r="AB28" s="90"/>
      <c r="AC28" s="90"/>
      <c r="AD28" s="90"/>
      <c r="AE28" s="90"/>
      <c r="AF28" s="90"/>
      <c r="AG28" s="90"/>
    </row>
    <row r="29" spans="9:33" x14ac:dyDescent="0.2">
      <c r="I29" s="89"/>
      <c r="J29" s="89"/>
      <c r="K29" s="89"/>
      <c r="L29" s="89"/>
      <c r="M29" s="89"/>
      <c r="N29" s="89"/>
      <c r="O29" s="89"/>
      <c r="P29" s="89"/>
      <c r="Q29" s="89"/>
      <c r="R29" s="91"/>
      <c r="S29" s="91"/>
      <c r="T29" s="88"/>
      <c r="U29" s="88"/>
      <c r="V29" s="90"/>
      <c r="W29" s="90"/>
      <c r="X29" s="88"/>
      <c r="Y29" s="88"/>
      <c r="Z29" s="90"/>
      <c r="AA29" s="90"/>
      <c r="AB29" s="90"/>
      <c r="AC29" s="90"/>
      <c r="AD29" s="90"/>
      <c r="AE29" s="90"/>
      <c r="AF29" s="90"/>
      <c r="AG29" s="90"/>
    </row>
    <row r="30" spans="9:33" x14ac:dyDescent="0.2">
      <c r="P30" s="89"/>
      <c r="Q30" s="89"/>
      <c r="R30" s="88"/>
      <c r="S30" s="88"/>
      <c r="T30" s="88"/>
      <c r="U30" s="88"/>
      <c r="V30" s="90"/>
      <c r="W30" s="90"/>
      <c r="X30" s="88"/>
      <c r="Y30" s="88"/>
      <c r="Z30" s="90"/>
      <c r="AA30" s="90"/>
      <c r="AB30" s="90"/>
      <c r="AC30" s="90"/>
      <c r="AD30" s="90"/>
      <c r="AE30" s="90"/>
      <c r="AF30" s="90"/>
      <c r="AG30" s="90"/>
    </row>
    <row r="31" spans="9:33" x14ac:dyDescent="0.2">
      <c r="I31" s="92"/>
      <c r="J31" s="92"/>
      <c r="K31" s="92"/>
      <c r="L31" s="92"/>
      <c r="M31" s="92"/>
      <c r="N31" s="92"/>
      <c r="O31" s="92"/>
      <c r="P31" s="89"/>
      <c r="Q31" s="89"/>
      <c r="R31" s="88"/>
      <c r="S31" s="88"/>
      <c r="T31" s="88"/>
      <c r="U31" s="88"/>
      <c r="V31" s="90"/>
      <c r="W31" s="90"/>
      <c r="X31" s="90"/>
      <c r="Y31" s="88"/>
      <c r="Z31" s="90"/>
      <c r="AA31" s="90"/>
      <c r="AB31" s="90"/>
      <c r="AC31" s="90"/>
      <c r="AD31" s="90"/>
      <c r="AE31" s="90"/>
      <c r="AF31" s="90"/>
      <c r="AG31" s="90"/>
    </row>
    <row r="32" spans="9:33" x14ac:dyDescent="0.2">
      <c r="I32" s="92"/>
      <c r="J32" s="92"/>
      <c r="K32" s="92"/>
      <c r="L32" s="92"/>
      <c r="M32" s="92"/>
      <c r="N32" s="92"/>
      <c r="O32" s="92"/>
      <c r="P32" s="89"/>
      <c r="Q32" s="89"/>
      <c r="R32" s="88"/>
      <c r="S32" s="88"/>
      <c r="T32" s="88"/>
      <c r="U32" s="88"/>
      <c r="V32" s="90"/>
      <c r="W32" s="90"/>
      <c r="X32" s="90"/>
      <c r="Y32" s="88"/>
      <c r="Z32" s="90"/>
      <c r="AA32" s="90"/>
      <c r="AB32" s="90"/>
      <c r="AC32" s="90"/>
      <c r="AD32" s="90"/>
      <c r="AE32" s="90"/>
      <c r="AF32" s="90"/>
      <c r="AG32" s="90"/>
    </row>
    <row r="33" spans="9:33" x14ac:dyDescent="0.2">
      <c r="I33" s="92"/>
      <c r="J33" s="92"/>
      <c r="K33" s="92"/>
      <c r="L33" s="92"/>
      <c r="M33" s="92"/>
      <c r="N33" s="92"/>
      <c r="O33" s="92"/>
      <c r="P33" s="89"/>
      <c r="Q33" s="89"/>
      <c r="R33" s="88"/>
      <c r="S33" s="88"/>
      <c r="T33" s="88"/>
      <c r="U33" s="88"/>
      <c r="V33" s="90"/>
      <c r="W33" s="90"/>
      <c r="X33" s="90"/>
      <c r="Y33" s="88"/>
      <c r="Z33" s="90"/>
      <c r="AA33" s="90"/>
      <c r="AB33" s="90"/>
      <c r="AC33" s="90"/>
      <c r="AD33" s="90"/>
      <c r="AE33" s="90"/>
      <c r="AF33" s="90"/>
      <c r="AG33" s="90"/>
    </row>
    <row r="34" spans="9:33" x14ac:dyDescent="0.2">
      <c r="I34" s="92"/>
      <c r="J34" s="92"/>
      <c r="K34" s="92"/>
      <c r="L34" s="92"/>
      <c r="M34" s="92"/>
      <c r="N34" s="92"/>
      <c r="O34" s="92"/>
      <c r="P34" s="89"/>
      <c r="Q34" s="89"/>
      <c r="R34" s="88"/>
      <c r="S34" s="88"/>
      <c r="T34" s="88"/>
      <c r="U34" s="88"/>
      <c r="V34" s="90"/>
      <c r="W34" s="90"/>
      <c r="X34" s="90"/>
      <c r="Y34" s="88"/>
      <c r="Z34" s="90"/>
      <c r="AA34" s="90"/>
      <c r="AB34" s="90"/>
      <c r="AC34" s="90"/>
      <c r="AD34" s="90"/>
      <c r="AE34" s="90"/>
      <c r="AF34" s="90"/>
      <c r="AG34" s="90"/>
    </row>
    <row r="35" spans="9:33" x14ac:dyDescent="0.2">
      <c r="I35" s="92"/>
      <c r="J35" s="92"/>
      <c r="K35" s="92"/>
      <c r="L35" s="92"/>
      <c r="M35" s="92"/>
      <c r="N35" s="92"/>
      <c r="O35" s="92"/>
      <c r="P35" s="89"/>
      <c r="Q35" s="89"/>
      <c r="R35" s="88"/>
      <c r="S35" s="88"/>
      <c r="T35" s="90"/>
      <c r="U35" s="88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</row>
    <row r="36" spans="9:33" x14ac:dyDescent="0.2">
      <c r="I36" s="92"/>
      <c r="J36" s="92"/>
      <c r="K36" s="92"/>
      <c r="L36" s="92"/>
      <c r="M36" s="92"/>
      <c r="N36" s="92"/>
      <c r="O36" s="92"/>
      <c r="P36" s="89"/>
      <c r="Q36" s="89"/>
      <c r="R36" s="88"/>
      <c r="S36" s="88"/>
      <c r="T36" s="90"/>
      <c r="U36" s="88"/>
      <c r="V36" s="90"/>
      <c r="W36" s="90"/>
      <c r="X36" s="90"/>
      <c r="Y36" s="88"/>
      <c r="Z36" s="90"/>
      <c r="AA36" s="90"/>
      <c r="AB36" s="90"/>
      <c r="AC36" s="90"/>
      <c r="AD36" s="90"/>
      <c r="AE36" s="90"/>
      <c r="AF36" s="90"/>
      <c r="AG36" s="90"/>
    </row>
    <row r="37" spans="9:33" x14ac:dyDescent="0.2">
      <c r="I37" s="92"/>
      <c r="J37" s="92"/>
      <c r="K37" s="92"/>
      <c r="L37" s="92"/>
      <c r="M37" s="92"/>
      <c r="N37" s="92"/>
      <c r="O37" s="92"/>
      <c r="P37" s="89"/>
      <c r="Q37" s="89"/>
      <c r="R37" s="88"/>
      <c r="S37" s="88"/>
      <c r="T37" s="90"/>
      <c r="U37" s="88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</row>
    <row r="38" spans="9:33" x14ac:dyDescent="0.2">
      <c r="I38" s="92"/>
      <c r="J38" s="92"/>
      <c r="K38" s="92"/>
      <c r="L38" s="92"/>
      <c r="M38" s="92"/>
      <c r="N38" s="92"/>
      <c r="O38" s="92"/>
      <c r="P38" s="89"/>
      <c r="Q38" s="89"/>
      <c r="R38" s="88"/>
      <c r="S38" s="88"/>
      <c r="T38" s="90"/>
      <c r="U38" s="88"/>
      <c r="V38" s="90"/>
      <c r="W38" s="90"/>
      <c r="X38" s="88"/>
      <c r="Y38" s="88"/>
      <c r="Z38" s="90"/>
      <c r="AA38" s="90"/>
      <c r="AB38" s="90"/>
      <c r="AC38" s="90"/>
      <c r="AD38" s="90"/>
      <c r="AE38" s="90"/>
      <c r="AF38" s="90"/>
      <c r="AG38" s="90"/>
    </row>
    <row r="39" spans="9:33" x14ac:dyDescent="0.2">
      <c r="I39" s="92"/>
      <c r="J39" s="92"/>
      <c r="K39" s="92"/>
      <c r="L39" s="92"/>
      <c r="M39" s="92"/>
      <c r="N39" s="92"/>
      <c r="O39" s="92"/>
      <c r="P39" s="89"/>
      <c r="Q39" s="89"/>
      <c r="R39" s="88"/>
      <c r="S39" s="88"/>
      <c r="T39" s="90"/>
      <c r="U39" s="88"/>
      <c r="V39" s="90"/>
      <c r="W39" s="90"/>
      <c r="X39" s="90"/>
      <c r="Y39" s="88"/>
      <c r="Z39" s="90"/>
      <c r="AA39" s="90"/>
      <c r="AB39" s="90"/>
      <c r="AC39" s="90"/>
      <c r="AD39" s="90"/>
      <c r="AE39" s="90"/>
      <c r="AF39" s="90"/>
      <c r="AG39" s="90"/>
    </row>
    <row r="40" spans="9:33" x14ac:dyDescent="0.2">
      <c r="I40" s="92"/>
      <c r="J40" s="92"/>
      <c r="K40" s="92"/>
      <c r="L40" s="92"/>
      <c r="M40" s="92"/>
      <c r="N40" s="92"/>
      <c r="O40" s="92"/>
      <c r="P40" s="89"/>
      <c r="Q40" s="89"/>
      <c r="R40" s="88"/>
      <c r="S40" s="88"/>
      <c r="T40" s="90"/>
      <c r="U40" s="88"/>
      <c r="V40" s="90"/>
      <c r="W40" s="90"/>
      <c r="X40" s="90"/>
      <c r="Y40" s="88"/>
      <c r="Z40" s="90"/>
      <c r="AA40" s="90"/>
      <c r="AB40" s="90"/>
      <c r="AC40" s="90"/>
      <c r="AD40" s="90"/>
      <c r="AE40" s="90"/>
      <c r="AF40" s="90"/>
      <c r="AG40" s="90"/>
    </row>
    <row r="41" spans="9:33" x14ac:dyDescent="0.2">
      <c r="I41" s="92"/>
      <c r="J41" s="92"/>
      <c r="K41" s="92"/>
      <c r="L41" s="92"/>
      <c r="M41" s="92"/>
      <c r="N41" s="92"/>
      <c r="O41" s="92"/>
      <c r="P41" s="89"/>
      <c r="Q41" s="89"/>
      <c r="R41" s="88"/>
      <c r="S41" s="88"/>
      <c r="T41" s="90"/>
      <c r="U41" s="88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</row>
    <row r="42" spans="9:33" x14ac:dyDescent="0.2">
      <c r="I42" s="92"/>
      <c r="J42" s="92"/>
      <c r="K42" s="92"/>
      <c r="L42" s="92"/>
      <c r="M42" s="92"/>
      <c r="N42" s="92"/>
      <c r="O42" s="92"/>
      <c r="P42" s="89"/>
      <c r="Q42" s="89"/>
      <c r="R42" s="88"/>
      <c r="S42" s="88"/>
      <c r="T42" s="90"/>
      <c r="U42" s="88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</row>
    <row r="43" spans="9:33" x14ac:dyDescent="0.2">
      <c r="I43" s="92"/>
      <c r="J43" s="92"/>
      <c r="K43" s="92"/>
      <c r="L43" s="92"/>
      <c r="M43" s="92"/>
      <c r="N43" s="92"/>
      <c r="O43" s="92"/>
      <c r="P43" s="89"/>
      <c r="Q43" s="89"/>
      <c r="R43" s="88"/>
      <c r="S43" s="88"/>
      <c r="T43" s="90"/>
      <c r="U43" s="88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</row>
    <row r="44" spans="9:33" x14ac:dyDescent="0.2">
      <c r="I44" s="92"/>
      <c r="J44" s="92"/>
      <c r="K44" s="92"/>
      <c r="L44" s="92"/>
      <c r="M44" s="92"/>
      <c r="N44" s="92"/>
      <c r="O44" s="92"/>
      <c r="P44" s="89"/>
      <c r="Q44" s="89"/>
      <c r="R44" s="88"/>
      <c r="S44" s="88"/>
      <c r="T44" s="90"/>
      <c r="U44" s="88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</row>
    <row r="45" spans="9:33" x14ac:dyDescent="0.2">
      <c r="I45" s="92"/>
      <c r="J45" s="92"/>
      <c r="K45" s="92"/>
      <c r="L45" s="92"/>
      <c r="M45" s="92"/>
      <c r="N45" s="92"/>
      <c r="O45" s="92"/>
      <c r="P45" s="89"/>
      <c r="Q45" s="89"/>
      <c r="R45" s="88"/>
      <c r="S45" s="88"/>
      <c r="T45" s="90"/>
      <c r="U45" s="88"/>
      <c r="V45" s="90"/>
      <c r="W45" s="90"/>
      <c r="X45" s="88"/>
      <c r="Y45" s="90"/>
      <c r="Z45" s="90"/>
      <c r="AA45" s="90"/>
      <c r="AB45" s="90"/>
      <c r="AC45" s="90"/>
      <c r="AD45" s="90"/>
      <c r="AE45" s="90"/>
      <c r="AF45" s="90"/>
      <c r="AG45" s="90"/>
    </row>
    <row r="46" spans="9:33" x14ac:dyDescent="0.2">
      <c r="I46" s="92"/>
      <c r="J46" s="92"/>
      <c r="K46" s="92"/>
      <c r="L46" s="92"/>
      <c r="M46" s="92"/>
      <c r="N46" s="92"/>
      <c r="O46" s="92"/>
      <c r="P46" s="89"/>
      <c r="Q46" s="89"/>
      <c r="R46" s="88"/>
      <c r="S46" s="88"/>
      <c r="T46" s="88"/>
      <c r="U46" s="88"/>
      <c r="V46" s="90"/>
      <c r="W46" s="90"/>
      <c r="X46" s="88"/>
      <c r="Y46" s="88"/>
      <c r="Z46" s="90"/>
      <c r="AA46" s="90"/>
      <c r="AB46" s="90"/>
      <c r="AC46" s="90"/>
      <c r="AD46" s="90"/>
      <c r="AE46" s="90"/>
      <c r="AF46" s="90"/>
      <c r="AG46" s="90"/>
    </row>
    <row r="47" spans="9:33" x14ac:dyDescent="0.2">
      <c r="I47" s="92"/>
      <c r="J47" s="92"/>
      <c r="K47" s="92"/>
      <c r="L47" s="92"/>
      <c r="M47" s="92"/>
      <c r="N47" s="92"/>
      <c r="O47" s="92"/>
      <c r="P47" s="89"/>
      <c r="Q47" s="89"/>
      <c r="R47" s="88"/>
      <c r="S47" s="88"/>
      <c r="T47" s="88"/>
      <c r="U47" s="88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</row>
    <row r="48" spans="9:33" x14ac:dyDescent="0.2">
      <c r="I48" s="92"/>
      <c r="J48" s="92"/>
      <c r="K48" s="92"/>
      <c r="L48" s="92"/>
      <c r="M48" s="92"/>
      <c r="N48" s="92"/>
      <c r="O48" s="92"/>
      <c r="P48" s="89"/>
      <c r="Q48" s="89"/>
      <c r="R48" s="88"/>
      <c r="S48" s="88"/>
      <c r="T48" s="88"/>
      <c r="U48" s="88"/>
      <c r="V48" s="90"/>
      <c r="W48" s="90"/>
      <c r="X48" s="90"/>
      <c r="Y48" s="88"/>
      <c r="Z48" s="90"/>
      <c r="AA48" s="90"/>
      <c r="AB48" s="90"/>
      <c r="AC48" s="90"/>
      <c r="AD48" s="90"/>
      <c r="AE48" s="90"/>
      <c r="AF48" s="90"/>
      <c r="AG48" s="90"/>
    </row>
    <row r="49" spans="9:33" x14ac:dyDescent="0.2">
      <c r="I49" s="92"/>
      <c r="J49" s="92"/>
      <c r="K49" s="92"/>
      <c r="L49" s="92"/>
      <c r="M49" s="92"/>
      <c r="N49" s="92"/>
      <c r="O49" s="92"/>
      <c r="P49" s="89"/>
      <c r="Q49" s="89"/>
      <c r="R49" s="88"/>
      <c r="S49" s="88"/>
      <c r="T49" s="90"/>
      <c r="U49" s="88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</row>
    <row r="50" spans="9:33" x14ac:dyDescent="0.2">
      <c r="I50" s="92"/>
      <c r="J50" s="92"/>
      <c r="K50" s="92"/>
      <c r="L50" s="92"/>
      <c r="M50" s="92"/>
      <c r="N50" s="92"/>
      <c r="O50" s="92"/>
      <c r="P50" s="89"/>
      <c r="Q50" s="89"/>
      <c r="R50" s="88"/>
      <c r="S50" s="88"/>
      <c r="T50" s="90"/>
      <c r="U50" s="88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</row>
    <row r="51" spans="9:33" x14ac:dyDescent="0.2">
      <c r="I51" s="92"/>
      <c r="J51" s="92"/>
      <c r="K51" s="92"/>
      <c r="L51" s="92"/>
      <c r="M51" s="92"/>
      <c r="N51" s="92"/>
      <c r="O51" s="92"/>
      <c r="P51" s="89"/>
      <c r="Q51" s="89"/>
      <c r="R51" s="88"/>
      <c r="S51" s="88"/>
      <c r="T51" s="90"/>
      <c r="U51" s="88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</row>
    <row r="52" spans="9:33" x14ac:dyDescent="0.2">
      <c r="I52" s="92"/>
      <c r="J52" s="92"/>
      <c r="K52" s="92"/>
      <c r="L52" s="92"/>
      <c r="M52" s="92"/>
      <c r="N52" s="92"/>
      <c r="O52" s="92"/>
      <c r="P52" s="89"/>
      <c r="Q52" s="89"/>
      <c r="R52" s="88"/>
      <c r="S52" s="88"/>
      <c r="T52" s="88"/>
      <c r="U52" s="88"/>
      <c r="V52" s="90"/>
      <c r="W52" s="90"/>
      <c r="X52" s="90"/>
      <c r="Y52" s="88"/>
      <c r="Z52" s="90"/>
      <c r="AA52" s="90"/>
      <c r="AB52" s="90"/>
      <c r="AC52" s="90"/>
      <c r="AD52" s="90"/>
      <c r="AE52" s="90"/>
      <c r="AF52" s="90"/>
      <c r="AG52" s="90"/>
    </row>
    <row r="53" spans="9:33" x14ac:dyDescent="0.2">
      <c r="I53" s="92"/>
      <c r="J53" s="92"/>
      <c r="K53" s="92"/>
      <c r="L53" s="92"/>
      <c r="M53" s="92"/>
      <c r="N53" s="92"/>
      <c r="O53" s="92"/>
      <c r="P53" s="89"/>
      <c r="Q53" s="89"/>
      <c r="R53" s="88"/>
      <c r="S53" s="88"/>
      <c r="T53" s="88"/>
      <c r="U53" s="88"/>
      <c r="V53" s="90"/>
      <c r="W53" s="90"/>
      <c r="X53" s="90"/>
      <c r="Y53" s="88"/>
      <c r="Z53" s="90"/>
      <c r="AA53" s="90"/>
      <c r="AB53" s="90"/>
      <c r="AC53" s="90"/>
      <c r="AD53" s="90"/>
      <c r="AE53" s="90"/>
      <c r="AF53" s="90"/>
      <c r="AG53" s="90"/>
    </row>
    <row r="54" spans="9:33" x14ac:dyDescent="0.2">
      <c r="I54" s="92"/>
      <c r="J54" s="92"/>
      <c r="K54" s="92"/>
      <c r="L54" s="92"/>
      <c r="M54" s="92"/>
      <c r="N54" s="92"/>
      <c r="O54" s="92"/>
      <c r="P54" s="89"/>
      <c r="Q54" s="89"/>
      <c r="R54" s="88"/>
      <c r="S54" s="88"/>
      <c r="T54" s="88"/>
      <c r="U54" s="88"/>
      <c r="V54" s="90"/>
      <c r="W54" s="90"/>
      <c r="X54" s="88"/>
      <c r="Y54" s="88"/>
      <c r="Z54" s="90"/>
      <c r="AA54" s="90"/>
      <c r="AB54" s="90"/>
      <c r="AC54" s="90"/>
      <c r="AD54" s="90"/>
      <c r="AE54" s="90"/>
      <c r="AF54" s="90"/>
      <c r="AG54" s="90"/>
    </row>
    <row r="55" spans="9:33" x14ac:dyDescent="0.2">
      <c r="I55" s="92"/>
      <c r="J55" s="92"/>
      <c r="K55" s="92"/>
      <c r="L55" s="92"/>
      <c r="M55" s="92"/>
      <c r="N55" s="92"/>
      <c r="O55" s="92"/>
      <c r="P55" s="89"/>
      <c r="Q55" s="89"/>
      <c r="R55" s="91"/>
      <c r="S55" s="91"/>
      <c r="T55" s="88"/>
      <c r="U55" s="88"/>
      <c r="V55" s="90"/>
      <c r="W55" s="90"/>
      <c r="X55" s="90"/>
      <c r="Y55" s="88"/>
      <c r="Z55" s="90"/>
      <c r="AA55" s="90"/>
      <c r="AB55" s="88"/>
      <c r="AC55" s="90"/>
      <c r="AD55" s="90"/>
      <c r="AE55" s="90"/>
      <c r="AF55" s="90"/>
      <c r="AG55" s="90"/>
    </row>
    <row r="56" spans="9:33" x14ac:dyDescent="0.2">
      <c r="I56" s="92"/>
      <c r="J56" s="92"/>
      <c r="K56" s="92"/>
      <c r="L56" s="92"/>
      <c r="M56" s="92"/>
      <c r="N56" s="92"/>
      <c r="O56" s="92"/>
      <c r="P56" s="89"/>
      <c r="Q56" s="89"/>
      <c r="R56" s="91"/>
      <c r="S56" s="91"/>
      <c r="T56" s="88"/>
      <c r="U56" s="88"/>
      <c r="V56" s="90"/>
      <c r="W56" s="90"/>
      <c r="X56" s="90"/>
      <c r="Y56" s="88"/>
      <c r="Z56" s="90"/>
      <c r="AA56" s="90"/>
      <c r="AB56" s="88"/>
      <c r="AC56" s="90"/>
      <c r="AD56" s="90"/>
      <c r="AE56" s="88"/>
      <c r="AF56" s="88"/>
      <c r="AG56" s="88"/>
    </row>
    <row r="57" spans="9:33" x14ac:dyDescent="0.2">
      <c r="I57" s="92"/>
      <c r="J57" s="92"/>
      <c r="K57" s="92"/>
      <c r="L57" s="92"/>
      <c r="M57" s="92"/>
      <c r="N57" s="92"/>
      <c r="O57" s="92"/>
      <c r="P57" s="89"/>
      <c r="Q57" s="89"/>
      <c r="R57" s="88"/>
      <c r="S57" s="88"/>
      <c r="T57" s="88"/>
      <c r="U57" s="88"/>
      <c r="V57" s="90"/>
      <c r="W57" s="90"/>
      <c r="X57" s="90"/>
      <c r="Y57" s="88"/>
      <c r="Z57" s="90"/>
      <c r="AA57" s="90"/>
      <c r="AB57" s="90"/>
      <c r="AC57" s="90"/>
      <c r="AD57" s="90"/>
      <c r="AE57" s="88"/>
      <c r="AF57" s="88"/>
      <c r="AG57" s="88"/>
    </row>
    <row r="58" spans="9:33" x14ac:dyDescent="0.2">
      <c r="I58" s="92"/>
      <c r="J58" s="92"/>
      <c r="K58" s="92"/>
      <c r="L58" s="92"/>
      <c r="M58" s="92"/>
      <c r="N58" s="92"/>
      <c r="O58" s="92"/>
      <c r="P58" s="89"/>
      <c r="Q58" s="89"/>
      <c r="R58" s="88"/>
      <c r="S58" s="88"/>
      <c r="T58" s="90"/>
      <c r="U58" s="88"/>
      <c r="V58" s="90"/>
      <c r="W58" s="90"/>
      <c r="X58" s="88"/>
      <c r="Y58" s="88"/>
      <c r="Z58" s="90"/>
      <c r="AA58" s="90"/>
      <c r="AB58" s="90"/>
      <c r="AC58" s="90"/>
      <c r="AD58" s="90"/>
      <c r="AE58" s="90"/>
      <c r="AF58" s="90"/>
      <c r="AG58" s="90"/>
    </row>
    <row r="59" spans="9:33" x14ac:dyDescent="0.2">
      <c r="I59" s="92"/>
      <c r="J59" s="92"/>
      <c r="K59" s="92"/>
      <c r="L59" s="92"/>
      <c r="M59" s="92"/>
      <c r="N59" s="92"/>
      <c r="O59" s="92"/>
      <c r="P59" s="89"/>
      <c r="Q59" s="89"/>
      <c r="R59" s="88"/>
      <c r="S59" s="88"/>
      <c r="T59" s="90"/>
      <c r="U59" s="88"/>
      <c r="V59" s="90"/>
      <c r="W59" s="90"/>
      <c r="X59" s="90"/>
      <c r="Y59" s="88"/>
      <c r="Z59" s="90"/>
      <c r="AA59" s="90"/>
      <c r="AB59" s="90"/>
      <c r="AC59" s="90"/>
      <c r="AD59" s="90"/>
      <c r="AE59" s="90"/>
      <c r="AF59" s="90"/>
      <c r="AG59" s="90"/>
    </row>
    <row r="60" spans="9:33" x14ac:dyDescent="0.2">
      <c r="I60" s="92"/>
      <c r="J60" s="92"/>
      <c r="K60" s="92"/>
      <c r="L60" s="92"/>
      <c r="M60" s="92"/>
      <c r="N60" s="92"/>
      <c r="O60" s="92"/>
      <c r="P60" s="89"/>
      <c r="Q60" s="89"/>
      <c r="R60" s="91"/>
      <c r="S60" s="91"/>
      <c r="T60" s="88"/>
      <c r="U60" s="88"/>
      <c r="V60" s="90"/>
      <c r="W60" s="90"/>
      <c r="X60" s="90"/>
      <c r="Y60" s="88"/>
      <c r="Z60" s="90"/>
      <c r="AA60" s="90"/>
      <c r="AB60" s="88"/>
      <c r="AC60" s="90"/>
      <c r="AD60" s="90"/>
      <c r="AE60" s="90"/>
      <c r="AF60" s="90"/>
      <c r="AG60" s="90"/>
    </row>
    <row r="61" spans="9:33" x14ac:dyDescent="0.2">
      <c r="I61" s="92"/>
      <c r="J61" s="92"/>
      <c r="K61" s="92"/>
      <c r="L61" s="92"/>
      <c r="M61" s="92"/>
      <c r="N61" s="92"/>
      <c r="O61" s="92"/>
      <c r="P61" s="89"/>
      <c r="Q61" s="89"/>
      <c r="R61" s="91"/>
      <c r="S61" s="91"/>
      <c r="T61" s="88"/>
      <c r="U61" s="88"/>
      <c r="V61" s="90"/>
      <c r="W61" s="90"/>
      <c r="X61" s="90"/>
      <c r="Y61" s="88"/>
      <c r="Z61" s="90"/>
      <c r="AA61" s="90"/>
      <c r="AB61" s="90"/>
      <c r="AC61" s="90"/>
      <c r="AD61" s="90"/>
      <c r="AE61" s="88"/>
      <c r="AF61" s="88"/>
      <c r="AG61" s="88"/>
    </row>
    <row r="62" spans="9:33" x14ac:dyDescent="0.2">
      <c r="I62" s="92"/>
      <c r="J62" s="92"/>
      <c r="K62" s="92"/>
      <c r="L62" s="92"/>
      <c r="M62" s="92"/>
      <c r="N62" s="92"/>
      <c r="O62" s="92"/>
      <c r="P62" s="89"/>
      <c r="Q62" s="89"/>
      <c r="R62" s="91"/>
      <c r="S62" s="88"/>
      <c r="T62" s="88"/>
      <c r="U62" s="88"/>
      <c r="V62" s="90"/>
      <c r="W62" s="90"/>
      <c r="X62" s="90"/>
      <c r="Y62" s="88"/>
      <c r="Z62" s="90"/>
      <c r="AA62" s="90"/>
      <c r="AB62" s="90"/>
      <c r="AC62" s="90"/>
      <c r="AD62" s="90"/>
      <c r="AE62" s="90"/>
      <c r="AF62" s="90"/>
      <c r="AG62" s="90"/>
    </row>
    <row r="63" spans="9:33" x14ac:dyDescent="0.2">
      <c r="I63" s="92"/>
      <c r="J63" s="92"/>
      <c r="K63" s="92"/>
      <c r="L63" s="92"/>
      <c r="M63" s="92"/>
      <c r="N63" s="92"/>
      <c r="O63" s="92"/>
      <c r="P63" s="89"/>
      <c r="Q63" s="89"/>
      <c r="R63" s="91"/>
      <c r="S63" s="91"/>
      <c r="T63" s="88"/>
      <c r="U63" s="88"/>
      <c r="V63" s="90"/>
      <c r="W63" s="90"/>
      <c r="X63" s="88"/>
      <c r="Y63" s="88"/>
      <c r="Z63" s="90"/>
      <c r="AA63" s="90"/>
      <c r="AB63" s="88"/>
      <c r="AC63" s="90"/>
      <c r="AD63" s="90"/>
      <c r="AE63" s="90"/>
      <c r="AF63" s="90"/>
      <c r="AG63" s="90"/>
    </row>
    <row r="64" spans="9:33" x14ac:dyDescent="0.2">
      <c r="I64" s="92"/>
      <c r="J64" s="92"/>
      <c r="K64" s="92"/>
      <c r="L64" s="92"/>
      <c r="M64" s="92"/>
      <c r="N64" s="92"/>
      <c r="O64" s="92"/>
      <c r="P64" s="89"/>
      <c r="Q64" s="89"/>
      <c r="R64" s="91"/>
      <c r="S64" s="88"/>
      <c r="T64" s="88"/>
      <c r="U64" s="88"/>
      <c r="V64" s="90"/>
      <c r="W64" s="90"/>
      <c r="X64" s="90"/>
      <c r="Y64" s="88"/>
      <c r="Z64" s="90"/>
      <c r="AA64" s="90"/>
      <c r="AB64" s="90"/>
      <c r="AC64" s="90"/>
      <c r="AD64" s="90"/>
      <c r="AE64" s="90"/>
      <c r="AF64" s="90"/>
      <c r="AG64" s="90"/>
    </row>
    <row r="65" spans="9:33" x14ac:dyDescent="0.2">
      <c r="I65" s="92"/>
      <c r="J65" s="92"/>
      <c r="K65" s="92"/>
      <c r="L65" s="92"/>
      <c r="M65" s="92"/>
      <c r="N65" s="92"/>
      <c r="O65" s="92"/>
      <c r="P65" s="89"/>
      <c r="Q65" s="89"/>
      <c r="R65" s="88"/>
      <c r="S65" s="88"/>
      <c r="T65" s="90"/>
      <c r="U65" s="88"/>
      <c r="V65" s="90"/>
      <c r="W65" s="90"/>
      <c r="X65" s="90"/>
      <c r="Y65" s="88"/>
      <c r="Z65" s="90"/>
      <c r="AA65" s="90"/>
      <c r="AB65" s="90"/>
      <c r="AC65" s="90"/>
      <c r="AD65" s="90"/>
      <c r="AE65" s="90"/>
      <c r="AF65" s="90"/>
      <c r="AG65" s="90"/>
    </row>
    <row r="66" spans="9:33" x14ac:dyDescent="0.2">
      <c r="I66" s="92"/>
      <c r="J66" s="92"/>
      <c r="K66" s="92"/>
      <c r="L66" s="92"/>
      <c r="M66" s="92"/>
      <c r="N66" s="92"/>
      <c r="O66" s="92"/>
      <c r="P66" s="89"/>
      <c r="Q66" s="89"/>
      <c r="R66" s="88"/>
      <c r="S66" s="88"/>
      <c r="T66" s="88"/>
      <c r="U66" s="88"/>
      <c r="V66" s="90"/>
      <c r="W66" s="90"/>
      <c r="X66" s="90"/>
      <c r="Y66" s="88"/>
      <c r="Z66" s="90"/>
      <c r="AA66" s="90"/>
      <c r="AB66" s="90"/>
      <c r="AC66" s="90"/>
      <c r="AD66" s="90"/>
      <c r="AE66" s="90"/>
      <c r="AF66" s="90"/>
      <c r="AG66" s="90"/>
    </row>
    <row r="67" spans="9:33" x14ac:dyDescent="0.2">
      <c r="I67" s="92"/>
      <c r="J67" s="92"/>
      <c r="K67" s="92"/>
      <c r="L67" s="92"/>
      <c r="M67" s="92"/>
      <c r="N67" s="92"/>
      <c r="O67" s="92"/>
      <c r="P67" s="89"/>
      <c r="Q67" s="89"/>
      <c r="R67" s="88"/>
      <c r="S67" s="88"/>
      <c r="T67" s="90"/>
      <c r="U67" s="88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</row>
    <row r="68" spans="9:33" x14ac:dyDescent="0.2">
      <c r="I68" s="92"/>
      <c r="J68" s="92"/>
      <c r="K68" s="92"/>
      <c r="L68" s="92"/>
      <c r="M68" s="92"/>
      <c r="N68" s="92"/>
      <c r="O68" s="92"/>
      <c r="P68" s="89"/>
      <c r="Q68" s="89"/>
      <c r="R68" s="88"/>
      <c r="S68" s="88"/>
      <c r="T68" s="90"/>
      <c r="U68" s="88"/>
      <c r="V68" s="90"/>
      <c r="W68" s="90"/>
      <c r="X68" s="90"/>
      <c r="Y68" s="88"/>
      <c r="Z68" s="90"/>
      <c r="AA68" s="90"/>
      <c r="AB68" s="90"/>
      <c r="AC68" s="90"/>
      <c r="AD68" s="90"/>
      <c r="AE68" s="90"/>
      <c r="AF68" s="90"/>
      <c r="AG68" s="90"/>
    </row>
    <row r="69" spans="9:33" x14ac:dyDescent="0.2">
      <c r="I69" s="92"/>
      <c r="J69" s="92"/>
      <c r="K69" s="92"/>
      <c r="L69" s="92"/>
      <c r="M69" s="92"/>
      <c r="N69" s="92"/>
      <c r="O69" s="92"/>
      <c r="P69" s="89"/>
      <c r="Q69" s="89"/>
      <c r="R69" s="91"/>
      <c r="S69" s="91"/>
      <c r="T69" s="88"/>
      <c r="U69" s="88"/>
      <c r="V69" s="90"/>
      <c r="W69" s="90"/>
      <c r="X69" s="90"/>
      <c r="Y69" s="88"/>
      <c r="Z69" s="90"/>
      <c r="AA69" s="90"/>
      <c r="AB69" s="88"/>
      <c r="AC69" s="90"/>
      <c r="AD69" s="90"/>
      <c r="AE69" s="88"/>
      <c r="AF69" s="88"/>
      <c r="AG69" s="88"/>
    </row>
    <row r="70" spans="9:33" x14ac:dyDescent="0.2">
      <c r="I70" s="92"/>
      <c r="J70" s="92"/>
      <c r="K70" s="92"/>
      <c r="L70" s="92"/>
      <c r="M70" s="92"/>
      <c r="N70" s="92"/>
      <c r="O70" s="92"/>
      <c r="P70" s="89"/>
      <c r="Q70" s="89"/>
      <c r="R70" s="88"/>
      <c r="S70" s="88"/>
      <c r="T70" s="88"/>
      <c r="U70" s="88"/>
      <c r="V70" s="90"/>
      <c r="W70" s="90"/>
      <c r="X70" s="90"/>
      <c r="Y70" s="88"/>
      <c r="Z70" s="90"/>
      <c r="AA70" s="90"/>
      <c r="AB70" s="90"/>
      <c r="AC70" s="90"/>
      <c r="AD70" s="90"/>
      <c r="AE70" s="90"/>
      <c r="AF70" s="90"/>
      <c r="AG70" s="90"/>
    </row>
    <row r="71" spans="9:33" x14ac:dyDescent="0.2">
      <c r="I71" s="92"/>
      <c r="J71" s="92"/>
      <c r="K71" s="92"/>
      <c r="L71" s="92"/>
      <c r="M71" s="92"/>
      <c r="N71" s="92"/>
      <c r="O71" s="92"/>
      <c r="P71" s="89"/>
      <c r="Q71" s="89"/>
      <c r="R71" s="88"/>
      <c r="S71" s="88"/>
      <c r="T71" s="88"/>
      <c r="U71" s="88"/>
      <c r="V71" s="90"/>
      <c r="W71" s="90"/>
      <c r="X71" s="90"/>
      <c r="Y71" s="88"/>
      <c r="Z71" s="90"/>
      <c r="AA71" s="90"/>
      <c r="AB71" s="90"/>
      <c r="AC71" s="90"/>
      <c r="AD71" s="90"/>
      <c r="AE71" s="90"/>
      <c r="AF71" s="90"/>
      <c r="AG71" s="90"/>
    </row>
    <row r="72" spans="9:33" x14ac:dyDescent="0.2">
      <c r="I72" s="92"/>
      <c r="J72" s="92"/>
      <c r="K72" s="92"/>
      <c r="L72" s="92"/>
      <c r="M72" s="92"/>
      <c r="N72" s="92"/>
      <c r="O72" s="92"/>
      <c r="P72" s="89"/>
      <c r="Q72" s="89"/>
      <c r="R72" s="91"/>
      <c r="S72" s="91"/>
      <c r="T72" s="88"/>
      <c r="U72" s="88"/>
      <c r="V72" s="90"/>
      <c r="W72" s="90"/>
      <c r="X72" s="90"/>
      <c r="Y72" s="88"/>
      <c r="Z72" s="90"/>
      <c r="AA72" s="90"/>
      <c r="AB72" s="88"/>
      <c r="AC72" s="90"/>
      <c r="AD72" s="90"/>
      <c r="AE72" s="88"/>
      <c r="AF72" s="88"/>
      <c r="AG72" s="88"/>
    </row>
    <row r="73" spans="9:33" x14ac:dyDescent="0.2">
      <c r="I73" s="92"/>
      <c r="J73" s="92"/>
      <c r="K73" s="92"/>
      <c r="L73" s="92"/>
      <c r="M73" s="92"/>
      <c r="N73" s="92"/>
      <c r="O73" s="92"/>
      <c r="P73" s="89"/>
      <c r="Q73" s="89"/>
      <c r="R73" s="88"/>
      <c r="S73" s="88"/>
      <c r="T73" s="90"/>
      <c r="U73" s="88"/>
      <c r="V73" s="90"/>
      <c r="W73" s="90"/>
      <c r="X73" s="90"/>
      <c r="Y73" s="88"/>
      <c r="Z73" s="90"/>
      <c r="AA73" s="90"/>
      <c r="AB73" s="90"/>
      <c r="AC73" s="90"/>
      <c r="AD73" s="90"/>
      <c r="AE73" s="90"/>
      <c r="AF73" s="90"/>
      <c r="AG73" s="90"/>
    </row>
    <row r="74" spans="9:33" x14ac:dyDescent="0.2">
      <c r="I74" s="92"/>
      <c r="J74" s="92"/>
      <c r="K74" s="92"/>
      <c r="L74" s="92"/>
      <c r="M74" s="92"/>
      <c r="N74" s="92"/>
      <c r="O74" s="92"/>
      <c r="P74" s="89"/>
      <c r="Q74" s="89"/>
      <c r="R74" s="91"/>
      <c r="S74" s="91"/>
      <c r="T74" s="88"/>
      <c r="U74" s="88"/>
      <c r="V74" s="90"/>
      <c r="W74" s="90"/>
      <c r="X74" s="90"/>
      <c r="Y74" s="88"/>
      <c r="Z74" s="90"/>
      <c r="AA74" s="90"/>
      <c r="AB74" s="90"/>
      <c r="AC74" s="90"/>
      <c r="AD74" s="90"/>
      <c r="AE74" s="90"/>
      <c r="AF74" s="90"/>
      <c r="AG74" s="90"/>
    </row>
    <row r="75" spans="9:33" x14ac:dyDescent="0.2">
      <c r="I75" s="92"/>
      <c r="J75" s="92"/>
      <c r="K75" s="92"/>
      <c r="L75" s="92"/>
      <c r="M75" s="92"/>
      <c r="N75" s="92"/>
      <c r="O75" s="92"/>
      <c r="P75" s="89"/>
      <c r="Q75" s="89"/>
      <c r="R75" s="88"/>
      <c r="S75" s="88"/>
      <c r="T75" s="90"/>
      <c r="U75" s="88"/>
      <c r="V75" s="90"/>
      <c r="W75" s="90"/>
      <c r="X75" s="90"/>
      <c r="Y75" s="88"/>
      <c r="Z75" s="90"/>
      <c r="AA75" s="90"/>
      <c r="AB75" s="90"/>
      <c r="AC75" s="90"/>
      <c r="AD75" s="90"/>
      <c r="AE75" s="90"/>
      <c r="AF75" s="90"/>
      <c r="AG75" s="90"/>
    </row>
    <row r="76" spans="9:33" x14ac:dyDescent="0.2">
      <c r="I76" s="92"/>
      <c r="J76" s="92"/>
      <c r="K76" s="92"/>
      <c r="L76" s="92"/>
      <c r="M76" s="92"/>
      <c r="N76" s="92"/>
      <c r="O76" s="92"/>
      <c r="P76" s="89"/>
      <c r="Q76" s="89"/>
      <c r="R76" s="88"/>
      <c r="S76" s="88"/>
      <c r="T76" s="90"/>
      <c r="U76" s="88"/>
      <c r="V76" s="90"/>
      <c r="W76" s="90"/>
      <c r="X76" s="90"/>
      <c r="Y76" s="88"/>
      <c r="Z76" s="90"/>
      <c r="AA76" s="90"/>
      <c r="AB76" s="90"/>
      <c r="AC76" s="90"/>
      <c r="AD76" s="90"/>
      <c r="AE76" s="90"/>
      <c r="AF76" s="90"/>
      <c r="AG76" s="90"/>
    </row>
    <row r="77" spans="9:33" x14ac:dyDescent="0.2">
      <c r="I77" s="92"/>
      <c r="J77" s="92"/>
      <c r="K77" s="92"/>
      <c r="L77" s="92"/>
      <c r="M77" s="92"/>
      <c r="N77" s="92"/>
      <c r="O77" s="92"/>
      <c r="P77" s="89"/>
      <c r="Q77" s="89"/>
      <c r="R77" s="91"/>
      <c r="S77" s="91"/>
      <c r="T77" s="88"/>
      <c r="U77" s="88"/>
      <c r="V77" s="90"/>
      <c r="W77" s="90"/>
      <c r="X77" s="90"/>
      <c r="Y77" s="88"/>
      <c r="Z77" s="90"/>
      <c r="AA77" s="90"/>
      <c r="AB77" s="88"/>
      <c r="AC77" s="90"/>
      <c r="AD77" s="90"/>
      <c r="AE77" s="90"/>
      <c r="AF77" s="90"/>
      <c r="AG77" s="90"/>
    </row>
    <row r="78" spans="9:33" x14ac:dyDescent="0.2">
      <c r="I78" s="92"/>
      <c r="J78" s="92"/>
      <c r="K78" s="92"/>
      <c r="L78" s="92"/>
      <c r="M78" s="92"/>
      <c r="N78" s="92"/>
      <c r="O78" s="92"/>
      <c r="P78" s="89"/>
      <c r="Q78" s="89"/>
      <c r="R78" s="91"/>
      <c r="S78" s="88"/>
      <c r="T78" s="88"/>
      <c r="U78" s="88"/>
      <c r="V78" s="90"/>
      <c r="W78" s="90"/>
      <c r="X78" s="90"/>
      <c r="Y78" s="88"/>
      <c r="Z78" s="90"/>
      <c r="AA78" s="90"/>
      <c r="AB78" s="90"/>
      <c r="AC78" s="90"/>
      <c r="AD78" s="90"/>
      <c r="AE78" s="90"/>
      <c r="AF78" s="90"/>
      <c r="AG78" s="90"/>
    </row>
    <row r="79" spans="9:33" x14ac:dyDescent="0.2">
      <c r="I79" s="92"/>
      <c r="J79" s="92"/>
      <c r="K79" s="92"/>
      <c r="L79" s="92"/>
      <c r="M79" s="92"/>
      <c r="N79" s="92"/>
      <c r="O79" s="92"/>
      <c r="P79" s="89"/>
      <c r="Q79" s="89"/>
      <c r="R79" s="91"/>
      <c r="S79" s="91"/>
      <c r="T79" s="88"/>
      <c r="U79" s="88"/>
      <c r="V79" s="90"/>
      <c r="W79" s="90"/>
      <c r="X79" s="90"/>
      <c r="Y79" s="88"/>
      <c r="Z79" s="90"/>
      <c r="AA79" s="90"/>
      <c r="AB79" s="90"/>
      <c r="AC79" s="90"/>
      <c r="AD79" s="90"/>
      <c r="AE79" s="90"/>
      <c r="AF79" s="90"/>
      <c r="AG79" s="90"/>
    </row>
    <row r="80" spans="9:33" x14ac:dyDescent="0.2">
      <c r="I80" s="92"/>
      <c r="J80" s="92"/>
      <c r="K80" s="92"/>
      <c r="L80" s="92"/>
      <c r="M80" s="92"/>
      <c r="N80" s="92"/>
      <c r="O80" s="92"/>
      <c r="P80" s="89"/>
      <c r="Q80" s="89"/>
      <c r="R80" s="88"/>
      <c r="S80" s="88"/>
      <c r="T80" s="88"/>
      <c r="U80" s="88"/>
      <c r="V80" s="90"/>
      <c r="W80" s="90"/>
      <c r="X80" s="90"/>
      <c r="Y80" s="88"/>
      <c r="Z80" s="90"/>
      <c r="AA80" s="90"/>
      <c r="AB80" s="90"/>
      <c r="AC80" s="90"/>
      <c r="AD80" s="90"/>
      <c r="AE80" s="90"/>
      <c r="AF80" s="90"/>
      <c r="AG80" s="90"/>
    </row>
    <row r="81" spans="9:33" x14ac:dyDescent="0.2">
      <c r="I81" s="92"/>
      <c r="J81" s="92"/>
      <c r="K81" s="92"/>
      <c r="L81" s="92"/>
      <c r="M81" s="92"/>
      <c r="N81" s="92"/>
      <c r="O81" s="92"/>
      <c r="P81" s="89"/>
      <c r="Q81" s="89"/>
      <c r="R81" s="88"/>
      <c r="S81" s="88"/>
      <c r="T81" s="88"/>
      <c r="U81" s="88"/>
      <c r="V81" s="90"/>
      <c r="W81" s="90"/>
      <c r="X81" s="90"/>
      <c r="Y81" s="88"/>
      <c r="Z81" s="90"/>
      <c r="AA81" s="90"/>
      <c r="AB81" s="90"/>
      <c r="AC81" s="90"/>
      <c r="AD81" s="90"/>
      <c r="AE81" s="90"/>
      <c r="AF81" s="90"/>
      <c r="AG81" s="90"/>
    </row>
    <row r="82" spans="9:33" x14ac:dyDescent="0.2">
      <c r="I82" s="92"/>
      <c r="J82" s="92"/>
      <c r="K82" s="92"/>
      <c r="L82" s="92"/>
      <c r="M82" s="92"/>
      <c r="N82" s="92"/>
      <c r="O82" s="92"/>
      <c r="P82" s="89"/>
      <c r="Q82" s="89"/>
      <c r="R82" s="88"/>
      <c r="S82" s="88"/>
      <c r="T82" s="88"/>
      <c r="U82" s="88"/>
      <c r="V82" s="90"/>
      <c r="W82" s="90"/>
      <c r="X82" s="90"/>
      <c r="Y82" s="88"/>
      <c r="Z82" s="90"/>
      <c r="AA82" s="90"/>
      <c r="AB82" s="90"/>
      <c r="AC82" s="90"/>
      <c r="AD82" s="90"/>
      <c r="AE82" s="90"/>
      <c r="AF82" s="90"/>
      <c r="AG82" s="90"/>
    </row>
    <row r="83" spans="9:33" x14ac:dyDescent="0.2">
      <c r="I83" s="92"/>
      <c r="J83" s="92"/>
      <c r="K83" s="92"/>
      <c r="L83" s="92"/>
      <c r="M83" s="92"/>
      <c r="N83" s="92"/>
      <c r="O83" s="92"/>
      <c r="P83" s="89"/>
      <c r="Q83" s="89"/>
      <c r="R83" s="88"/>
      <c r="S83" s="88"/>
      <c r="T83" s="88"/>
      <c r="U83" s="88"/>
      <c r="V83" s="90"/>
      <c r="W83" s="90"/>
      <c r="X83" s="90"/>
      <c r="Y83" s="88"/>
      <c r="Z83" s="90"/>
      <c r="AA83" s="90"/>
      <c r="AB83" s="90"/>
      <c r="AC83" s="90"/>
      <c r="AD83" s="90"/>
      <c r="AE83" s="90"/>
      <c r="AF83" s="90"/>
      <c r="AG83" s="90"/>
    </row>
    <row r="84" spans="9:33" x14ac:dyDescent="0.2">
      <c r="I84" s="92"/>
      <c r="J84" s="92"/>
      <c r="K84" s="92"/>
      <c r="L84" s="92"/>
      <c r="M84" s="92"/>
      <c r="N84" s="92"/>
      <c r="O84" s="92"/>
      <c r="P84" s="89"/>
      <c r="Q84" s="89"/>
      <c r="R84" s="88"/>
      <c r="S84" s="88"/>
      <c r="T84" s="88"/>
      <c r="U84" s="88"/>
      <c r="V84" s="90"/>
      <c r="W84" s="90"/>
      <c r="X84" s="90"/>
      <c r="Y84" s="88"/>
      <c r="Z84" s="90"/>
      <c r="AA84" s="90"/>
      <c r="AB84" s="90"/>
      <c r="AC84" s="90"/>
      <c r="AD84" s="90"/>
      <c r="AE84" s="90"/>
      <c r="AF84" s="90"/>
      <c r="AG84" s="90"/>
    </row>
    <row r="85" spans="9:33" x14ac:dyDescent="0.2">
      <c r="I85" s="92"/>
      <c r="J85" s="92"/>
      <c r="K85" s="92"/>
      <c r="L85" s="92"/>
      <c r="M85" s="92"/>
      <c r="N85" s="92"/>
      <c r="O85" s="92"/>
      <c r="P85" s="89"/>
      <c r="Q85" s="89"/>
      <c r="R85" s="88"/>
      <c r="S85" s="88"/>
      <c r="T85" s="90"/>
      <c r="U85" s="88"/>
      <c r="V85" s="90"/>
      <c r="W85" s="90"/>
      <c r="X85" s="90"/>
      <c r="Y85" s="88"/>
      <c r="Z85" s="90"/>
      <c r="AA85" s="90"/>
      <c r="AB85" s="90"/>
      <c r="AC85" s="90"/>
      <c r="AD85" s="90"/>
      <c r="AE85" s="90"/>
      <c r="AF85" s="90"/>
      <c r="AG85" s="90"/>
    </row>
    <row r="86" spans="9:33" x14ac:dyDescent="0.2">
      <c r="I86" s="92"/>
      <c r="J86" s="92"/>
      <c r="K86" s="92"/>
      <c r="L86" s="92"/>
      <c r="M86" s="92"/>
      <c r="N86" s="92"/>
      <c r="O86" s="92"/>
      <c r="P86" s="89"/>
      <c r="Q86" s="89"/>
      <c r="R86" s="88"/>
      <c r="S86" s="88"/>
      <c r="T86" s="88"/>
      <c r="U86" s="88"/>
      <c r="V86" s="90"/>
      <c r="W86" s="90"/>
      <c r="X86" s="88"/>
      <c r="Y86" s="88"/>
      <c r="Z86" s="90"/>
      <c r="AA86" s="90"/>
      <c r="AB86" s="90"/>
      <c r="AC86" s="90"/>
      <c r="AD86" s="90"/>
      <c r="AE86" s="90"/>
      <c r="AF86" s="90"/>
      <c r="AG86" s="90"/>
    </row>
    <row r="87" spans="9:33" x14ac:dyDescent="0.2">
      <c r="I87" s="93" t="e">
        <f>AVERAGE(#REF!)</f>
        <v>#REF!</v>
      </c>
      <c r="J87" s="93" t="e">
        <f>AVERAGE(#REF!)</f>
        <v>#REF!</v>
      </c>
      <c r="K87" s="93" t="e">
        <f>AVERAGE(#REF!)</f>
        <v>#REF!</v>
      </c>
      <c r="L87" s="93" t="e">
        <f>AVERAGE(#REF!)</f>
        <v>#REF!</v>
      </c>
      <c r="M87" s="93" t="e">
        <f>AVERAGE(#REF!)</f>
        <v>#REF!</v>
      </c>
      <c r="N87" s="93" t="e">
        <f>AVERAGE(#REF!)</f>
        <v>#REF!</v>
      </c>
      <c r="O87" s="93" t="e">
        <f>AVERAGE(#REF!)</f>
        <v>#REF!</v>
      </c>
      <c r="P87" s="89"/>
      <c r="Q87" s="89"/>
      <c r="R87" s="88"/>
      <c r="S87" s="88"/>
      <c r="T87" s="88"/>
      <c r="U87" s="88"/>
      <c r="V87" s="90"/>
      <c r="W87" s="90"/>
      <c r="X87" s="90"/>
      <c r="Y87" s="88"/>
      <c r="Z87" s="90"/>
      <c r="AA87" s="90"/>
      <c r="AB87" s="90"/>
      <c r="AC87" s="90"/>
      <c r="AD87" s="90"/>
      <c r="AE87" s="90"/>
      <c r="AF87" s="90"/>
      <c r="AG87" s="90"/>
    </row>
    <row r="88" spans="9:33" x14ac:dyDescent="0.2">
      <c r="I88" s="93"/>
      <c r="J88" s="93"/>
      <c r="K88" s="93"/>
      <c r="L88" s="93"/>
      <c r="M88" s="93"/>
      <c r="N88" s="93"/>
      <c r="O88" s="93"/>
      <c r="R88" s="70"/>
      <c r="S88" s="70"/>
      <c r="T88" s="94"/>
      <c r="U88" s="70"/>
      <c r="V88" s="94"/>
      <c r="W88" s="94"/>
      <c r="X88" s="94"/>
      <c r="Y88" s="70"/>
      <c r="Z88" s="94"/>
      <c r="AA88" s="94"/>
      <c r="AB88" s="94"/>
      <c r="AC88" s="94"/>
      <c r="AD88" s="94"/>
      <c r="AE88" s="94"/>
      <c r="AF88" s="94"/>
      <c r="AG88" s="94"/>
    </row>
    <row r="89" spans="9:33" x14ac:dyDescent="0.2">
      <c r="I89" s="93" t="e">
        <f>AVERAGE(#REF!)</f>
        <v>#REF!</v>
      </c>
      <c r="J89" s="93" t="e">
        <f>AVERAGE(#REF!)</f>
        <v>#REF!</v>
      </c>
      <c r="K89" s="93" t="e">
        <f>AVERAGE(#REF!)</f>
        <v>#REF!</v>
      </c>
      <c r="L89" s="93" t="e">
        <f>AVERAGE(#REF!)</f>
        <v>#REF!</v>
      </c>
      <c r="M89" s="93" t="e">
        <f>AVERAGE(#REF!)</f>
        <v>#REF!</v>
      </c>
      <c r="N89" s="93" t="e">
        <f>AVERAGE(#REF!)</f>
        <v>#REF!</v>
      </c>
      <c r="O89" s="93" t="e">
        <f>AVERAGE(#REF!)</f>
        <v>#REF!</v>
      </c>
      <c r="R89" s="95"/>
      <c r="S89" s="95"/>
      <c r="T89" s="95"/>
      <c r="U89" s="95"/>
      <c r="V89" s="96"/>
      <c r="W89" s="96"/>
      <c r="X89" s="96"/>
      <c r="Y89" s="95"/>
      <c r="Z89" s="96"/>
      <c r="AA89" s="96"/>
      <c r="AB89" s="96"/>
      <c r="AC89" s="96"/>
      <c r="AD89" s="96"/>
      <c r="AE89" s="96"/>
      <c r="AF89" s="96"/>
      <c r="AG89" s="96"/>
    </row>
    <row r="90" spans="9:33" x14ac:dyDescent="0.2">
      <c r="R90" s="88"/>
      <c r="S90" s="88"/>
      <c r="T90" s="90"/>
      <c r="U90" s="88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</row>
    <row r="91" spans="9:33" x14ac:dyDescent="0.2">
      <c r="R91" s="88"/>
      <c r="S91" s="88"/>
      <c r="T91" s="90"/>
      <c r="U91" s="88"/>
      <c r="V91" s="90"/>
      <c r="W91" s="90"/>
      <c r="X91" s="90"/>
      <c r="Y91" s="88"/>
      <c r="Z91" s="90"/>
      <c r="AA91" s="90"/>
      <c r="AB91" s="90"/>
      <c r="AC91" s="90"/>
      <c r="AD91" s="90"/>
      <c r="AE91" s="88"/>
      <c r="AF91" s="88"/>
      <c r="AG91" s="88"/>
    </row>
    <row r="92" spans="9:33" x14ac:dyDescent="0.2">
      <c r="R92" s="88"/>
      <c r="S92" s="88"/>
      <c r="T92" s="88"/>
      <c r="U92" s="88"/>
      <c r="V92" s="90"/>
      <c r="W92" s="90"/>
      <c r="X92" s="90"/>
      <c r="Y92" s="88"/>
      <c r="Z92" s="90"/>
      <c r="AA92" s="90"/>
      <c r="AB92" s="90"/>
      <c r="AC92" s="90"/>
      <c r="AD92" s="90"/>
      <c r="AE92" s="88"/>
      <c r="AF92" s="88"/>
      <c r="AG92" s="88"/>
    </row>
    <row r="93" spans="9:33" x14ac:dyDescent="0.2">
      <c r="R93" s="88"/>
      <c r="S93" s="88"/>
      <c r="T93" s="90"/>
      <c r="U93" s="88"/>
      <c r="V93" s="90"/>
      <c r="W93" s="90"/>
      <c r="X93" s="90"/>
      <c r="Y93" s="88"/>
      <c r="Z93" s="90"/>
      <c r="AA93" s="90"/>
      <c r="AB93" s="90"/>
      <c r="AC93" s="90"/>
      <c r="AD93" s="90"/>
      <c r="AE93" s="90"/>
      <c r="AF93" s="90"/>
      <c r="AG93" s="90"/>
    </row>
    <row r="94" spans="9:33" x14ac:dyDescent="0.2">
      <c r="R94" s="88"/>
      <c r="S94" s="88"/>
      <c r="T94" s="90"/>
      <c r="U94" s="88"/>
      <c r="V94" s="90"/>
      <c r="W94" s="90"/>
      <c r="X94" s="90"/>
      <c r="Y94" s="88"/>
      <c r="Z94" s="90"/>
      <c r="AA94" s="90"/>
      <c r="AB94" s="90"/>
      <c r="AC94" s="90"/>
      <c r="AD94" s="90"/>
      <c r="AE94" s="90"/>
      <c r="AF94" s="90"/>
      <c r="AG94" s="90"/>
    </row>
    <row r="95" spans="9:33" x14ac:dyDescent="0.2">
      <c r="R95" s="88"/>
      <c r="S95" s="88"/>
      <c r="T95" s="90"/>
      <c r="U95" s="88"/>
      <c r="V95" s="90"/>
      <c r="W95" s="90"/>
      <c r="X95" s="90"/>
      <c r="Y95" s="88"/>
      <c r="Z95" s="90"/>
      <c r="AA95" s="90"/>
      <c r="AB95" s="90"/>
      <c r="AC95" s="90"/>
      <c r="AD95" s="90"/>
      <c r="AE95" s="90"/>
      <c r="AF95" s="90"/>
      <c r="AG95" s="90"/>
    </row>
    <row r="96" spans="9:33" x14ac:dyDescent="0.2">
      <c r="R96" s="88"/>
      <c r="S96" s="88"/>
      <c r="T96" s="90"/>
      <c r="U96" s="88"/>
      <c r="V96" s="90"/>
      <c r="W96" s="90"/>
      <c r="X96" s="90"/>
      <c r="Y96" s="88"/>
      <c r="Z96" s="90"/>
      <c r="AA96" s="90"/>
      <c r="AB96" s="90"/>
      <c r="AC96" s="90"/>
      <c r="AD96" s="90"/>
      <c r="AE96" s="90"/>
      <c r="AF96" s="90"/>
      <c r="AG96" s="90"/>
    </row>
    <row r="97" spans="18:33" x14ac:dyDescent="0.2">
      <c r="R97" s="88"/>
      <c r="S97" s="88"/>
      <c r="T97" s="90"/>
      <c r="U97" s="88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</row>
    <row r="98" spans="18:33" x14ac:dyDescent="0.2">
      <c r="R98" s="88"/>
      <c r="S98" s="88"/>
      <c r="T98" s="90"/>
      <c r="U98" s="88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</row>
    <row r="99" spans="18:33" x14ac:dyDescent="0.2">
      <c r="R99" s="88"/>
      <c r="S99" s="88"/>
      <c r="T99" s="90"/>
      <c r="U99" s="88"/>
      <c r="V99" s="90"/>
      <c r="W99" s="90"/>
      <c r="X99" s="90"/>
      <c r="Y99" s="88"/>
      <c r="Z99" s="90"/>
      <c r="AA99" s="90"/>
      <c r="AB99" s="90"/>
      <c r="AC99" s="90"/>
      <c r="AD99" s="90"/>
      <c r="AE99" s="90"/>
      <c r="AF99" s="90"/>
      <c r="AG99" s="90"/>
    </row>
    <row r="100" spans="18:33" x14ac:dyDescent="0.2">
      <c r="R100" s="88"/>
      <c r="S100" s="88"/>
      <c r="T100" s="88"/>
      <c r="U100" s="88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</row>
    <row r="101" spans="18:33" x14ac:dyDescent="0.2">
      <c r="R101" s="88"/>
      <c r="S101" s="88"/>
      <c r="T101" s="88"/>
      <c r="U101" s="88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28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67</v>
      </c>
      <c r="B1" s="1" t="s">
        <v>131</v>
      </c>
      <c r="C1" s="1" t="s">
        <v>99</v>
      </c>
      <c r="D1" s="1" t="s">
        <v>42</v>
      </c>
      <c r="E1" s="1" t="s">
        <v>55</v>
      </c>
      <c r="F1" s="1" t="s">
        <v>77</v>
      </c>
      <c r="G1" s="1" t="s">
        <v>127</v>
      </c>
      <c r="H1" s="1" t="s">
        <v>128</v>
      </c>
      <c r="I1" s="1" t="s">
        <v>73</v>
      </c>
      <c r="J1" s="1" t="s">
        <v>123</v>
      </c>
      <c r="K1" s="1" t="s">
        <v>122</v>
      </c>
      <c r="L1" s="1" t="s">
        <v>65</v>
      </c>
      <c r="M1" s="1" t="s">
        <v>64</v>
      </c>
      <c r="N1" s="2" t="s">
        <v>108</v>
      </c>
      <c r="O1" s="1" t="s">
        <v>149</v>
      </c>
      <c r="P1" s="2" t="s">
        <v>45</v>
      </c>
      <c r="Q1" s="1" t="s">
        <v>20</v>
      </c>
      <c r="R1" s="1" t="s">
        <v>32</v>
      </c>
      <c r="S1" s="1" t="s">
        <v>116</v>
      </c>
      <c r="T1" s="1" t="s">
        <v>25</v>
      </c>
      <c r="U1" s="1" t="s">
        <v>26</v>
      </c>
      <c r="V1" s="1" t="s">
        <v>140</v>
      </c>
      <c r="W1" s="1" t="s">
        <v>117</v>
      </c>
      <c r="X1" s="1" t="s">
        <v>44</v>
      </c>
      <c r="Y1" s="1" t="s">
        <v>43</v>
      </c>
      <c r="Z1" s="1" t="s">
        <v>1</v>
      </c>
      <c r="AA1" s="1" t="s">
        <v>17</v>
      </c>
      <c r="AB1" s="1" t="s">
        <v>102</v>
      </c>
      <c r="AC1" s="1" t="s">
        <v>90</v>
      </c>
      <c r="AD1" s="1" t="s">
        <v>89</v>
      </c>
      <c r="AE1" s="1" t="s">
        <v>119</v>
      </c>
    </row>
    <row r="2" spans="1:31" x14ac:dyDescent="0.2">
      <c r="A2" s="3">
        <v>1</v>
      </c>
      <c r="B2" s="4" t="s">
        <v>14</v>
      </c>
      <c r="C2" s="5" t="s">
        <v>125</v>
      </c>
      <c r="D2" s="4" t="s">
        <v>100</v>
      </c>
      <c r="E2" s="4" t="s">
        <v>125</v>
      </c>
      <c r="F2" s="4" t="s">
        <v>110</v>
      </c>
      <c r="G2" s="4" t="s">
        <v>109</v>
      </c>
      <c r="H2" s="6">
        <v>23739.7219999546</v>
      </c>
      <c r="I2" s="6">
        <v>806.02279614632096</v>
      </c>
      <c r="J2" s="6">
        <v>3843.8508944690798</v>
      </c>
      <c r="K2" s="6">
        <v>17339027.134490199</v>
      </c>
      <c r="L2" s="6">
        <v>25152.829033496699</v>
      </c>
      <c r="M2" s="6">
        <v>4312256.8701230399</v>
      </c>
      <c r="N2" s="6">
        <v>11.3333378600018</v>
      </c>
      <c r="O2" s="6">
        <v>220.66838574016899</v>
      </c>
      <c r="P2" s="6">
        <v>2627.5751711251701</v>
      </c>
      <c r="Q2" s="6">
        <v>35101.0824121939</v>
      </c>
      <c r="R2" s="6">
        <v>1221.38568429002</v>
      </c>
      <c r="S2" s="6">
        <v>67769.083051015798</v>
      </c>
      <c r="T2" s="6">
        <v>256.00235006203201</v>
      </c>
      <c r="U2" s="6">
        <v>101.333713668155</v>
      </c>
      <c r="V2" s="6">
        <v>541.34360140830995</v>
      </c>
      <c r="W2" s="6">
        <v>8039.5968302438896</v>
      </c>
      <c r="X2" s="6">
        <v>64361.322956175201</v>
      </c>
      <c r="Y2" s="6">
        <v>28.633800329437001</v>
      </c>
      <c r="Z2" s="6">
        <v>100.667022314593</v>
      </c>
      <c r="AA2" s="6">
        <v>342.069359482761</v>
      </c>
      <c r="AB2" s="6">
        <v>32.000040693388797</v>
      </c>
      <c r="AC2" s="6">
        <v>99.333682447907606</v>
      </c>
      <c r="AD2" s="6">
        <v>87.3336004074838</v>
      </c>
      <c r="AE2" s="6">
        <v>216.001634745719</v>
      </c>
    </row>
    <row r="3" spans="1:31" x14ac:dyDescent="0.2">
      <c r="A3" s="3">
        <v>2</v>
      </c>
      <c r="B3" s="7" t="s">
        <v>14</v>
      </c>
      <c r="C3" s="8" t="s">
        <v>125</v>
      </c>
      <c r="D3" s="7" t="s">
        <v>96</v>
      </c>
      <c r="E3" s="7" t="s">
        <v>125</v>
      </c>
      <c r="F3" s="7" t="s">
        <v>27</v>
      </c>
      <c r="G3" s="7" t="s">
        <v>109</v>
      </c>
      <c r="H3" s="9">
        <v>25480.043305019</v>
      </c>
      <c r="I3" s="9">
        <v>808.68979958237503</v>
      </c>
      <c r="J3" s="9">
        <v>3663.1373055383601</v>
      </c>
      <c r="K3" s="9">
        <v>18039039.868115202</v>
      </c>
      <c r="L3" s="9">
        <v>26129.334213901901</v>
      </c>
      <c r="M3" s="9">
        <v>4366713.7528966498</v>
      </c>
      <c r="N3" s="9">
        <v>11.333337953335301</v>
      </c>
      <c r="O3" s="9">
        <v>214.66828909233701</v>
      </c>
      <c r="P3" s="9">
        <v>2514.8881382749901</v>
      </c>
      <c r="Q3" s="9">
        <v>34077.953946398899</v>
      </c>
      <c r="R3" s="9">
        <v>1221.3855866506599</v>
      </c>
      <c r="S3" s="9">
        <v>62387.329757083302</v>
      </c>
      <c r="T3" s="9">
        <v>254.00227012038999</v>
      </c>
      <c r="U3" s="9">
        <v>80.000229880678205</v>
      </c>
      <c r="V3" s="9">
        <v>569.34470706777904</v>
      </c>
      <c r="W3" s="9">
        <v>8109.6370103190602</v>
      </c>
      <c r="X3" s="9">
        <v>61337.8873861096</v>
      </c>
      <c r="Y3" s="9">
        <v>34.019380019402199</v>
      </c>
      <c r="Z3" s="9">
        <v>132.66729102297899</v>
      </c>
      <c r="AA3" s="9">
        <v>289.456899519155</v>
      </c>
      <c r="AB3" s="9">
        <v>24.666689953356499</v>
      </c>
      <c r="AC3" s="9">
        <v>117.333816521995</v>
      </c>
      <c r="AD3" s="9">
        <v>79.333553647278606</v>
      </c>
      <c r="AE3" s="9">
        <v>210.001546124736</v>
      </c>
    </row>
    <row r="4" spans="1:31" x14ac:dyDescent="0.2">
      <c r="A4" s="3">
        <v>3</v>
      </c>
      <c r="B4" s="4" t="s">
        <v>14</v>
      </c>
      <c r="C4" s="5" t="s">
        <v>125</v>
      </c>
      <c r="D4" s="4" t="s">
        <v>103</v>
      </c>
      <c r="E4" s="4" t="s">
        <v>125</v>
      </c>
      <c r="F4" s="4" t="s">
        <v>120</v>
      </c>
      <c r="G4" s="4" t="s">
        <v>109</v>
      </c>
      <c r="H4" s="6">
        <v>24312.673183340001</v>
      </c>
      <c r="I4" s="6">
        <v>1342.0631428358699</v>
      </c>
      <c r="J4" s="6">
        <v>18005.0106963328</v>
      </c>
      <c r="K4" s="6">
        <v>17628244.570987899</v>
      </c>
      <c r="L4" s="6">
        <v>26208.069118207</v>
      </c>
      <c r="M4" s="6">
        <v>4515788.7123024799</v>
      </c>
      <c r="N4" s="6">
        <v>12.6666725000028</v>
      </c>
      <c r="O4" s="6">
        <v>198.66806303657799</v>
      </c>
      <c r="P4" s="6">
        <v>2476.88138036705</v>
      </c>
      <c r="Q4" s="6">
        <v>35341.662447946801</v>
      </c>
      <c r="R4" s="6">
        <v>1176.0485677321701</v>
      </c>
      <c r="S4" s="6">
        <v>72145.102710739302</v>
      </c>
      <c r="T4" s="6">
        <v>268.00252991736801</v>
      </c>
      <c r="U4" s="6">
        <v>104.667050594743</v>
      </c>
      <c r="V4" s="6">
        <v>525.34302496604403</v>
      </c>
      <c r="W4" s="6">
        <v>7752.7726861790397</v>
      </c>
      <c r="X4" s="6">
        <v>62368.6083742185</v>
      </c>
      <c r="Y4" s="6">
        <v>49.993425445979902</v>
      </c>
      <c r="Z4" s="6">
        <v>120.000505122131</v>
      </c>
      <c r="AA4" s="6">
        <v>338.73594009580103</v>
      </c>
      <c r="AB4" s="6">
        <v>20.000016333348</v>
      </c>
      <c r="AC4" s="6">
        <v>91.333626820947998</v>
      </c>
      <c r="AD4" s="6">
        <v>82.000246634106006</v>
      </c>
      <c r="AE4" s="6">
        <v>200.00142082358099</v>
      </c>
    </row>
    <row r="5" spans="1:31" x14ac:dyDescent="0.2">
      <c r="A5" s="3">
        <v>4</v>
      </c>
      <c r="B5" s="7" t="s">
        <v>14</v>
      </c>
      <c r="C5" s="8" t="s">
        <v>125</v>
      </c>
      <c r="D5" s="7" t="s">
        <v>151</v>
      </c>
      <c r="E5" s="7" t="s">
        <v>125</v>
      </c>
      <c r="F5" s="7" t="s">
        <v>76</v>
      </c>
      <c r="G5" s="7" t="s">
        <v>109</v>
      </c>
      <c r="H5" s="9">
        <v>159066.93271274201</v>
      </c>
      <c r="I5" s="9">
        <v>11687.446150547001</v>
      </c>
      <c r="J5" s="9">
        <v>45916.437217014201</v>
      </c>
      <c r="K5" s="9">
        <v>17940116.8511029</v>
      </c>
      <c r="L5" s="9">
        <v>16957.447176960999</v>
      </c>
      <c r="M5" s="9">
        <v>4430943.3947590198</v>
      </c>
      <c r="N5" s="9">
        <v>92.000307161062594</v>
      </c>
      <c r="O5" s="9">
        <v>704.01737648292703</v>
      </c>
      <c r="P5" s="9">
        <v>3820.51088996933</v>
      </c>
      <c r="Q5" s="9">
        <v>42259.0986988062</v>
      </c>
      <c r="R5" s="9">
        <v>4418.6843232417796</v>
      </c>
      <c r="S5" s="9">
        <v>69071.434093373406</v>
      </c>
      <c r="T5" s="9">
        <v>1308.72668438907</v>
      </c>
      <c r="U5" s="9">
        <v>45568.202215036203</v>
      </c>
      <c r="V5" s="9">
        <v>1080.7075585278701</v>
      </c>
      <c r="W5" s="9">
        <v>10493.1904042674</v>
      </c>
      <c r="X5" s="9">
        <v>57139.234280340002</v>
      </c>
      <c r="Y5" s="9">
        <v>36.717391712346299</v>
      </c>
      <c r="Z5" s="9">
        <v>586.67877197096198</v>
      </c>
      <c r="AA5" s="9">
        <v>1112.0682164280599</v>
      </c>
      <c r="AB5" s="9">
        <v>52.666765273521001</v>
      </c>
      <c r="AC5" s="9">
        <v>296.66976849264</v>
      </c>
      <c r="AD5" s="9">
        <v>249.335535926343</v>
      </c>
      <c r="AE5" s="9">
        <v>622.680311740717</v>
      </c>
    </row>
    <row r="6" spans="1:31" x14ac:dyDescent="0.2">
      <c r="A6" s="3">
        <v>5</v>
      </c>
      <c r="B6" s="4" t="s">
        <v>37</v>
      </c>
      <c r="C6" s="5" t="s">
        <v>125</v>
      </c>
      <c r="D6" s="4" t="s">
        <v>5</v>
      </c>
      <c r="E6" s="4" t="s">
        <v>125</v>
      </c>
      <c r="F6" s="4" t="s">
        <v>16</v>
      </c>
      <c r="G6" s="4" t="s">
        <v>109</v>
      </c>
      <c r="H6" s="6">
        <v>486378.420306555</v>
      </c>
      <c r="I6" s="6">
        <v>172060.30141169101</v>
      </c>
      <c r="J6" s="6">
        <v>331742.82632476202</v>
      </c>
      <c r="K6" s="6">
        <v>18163168.357058</v>
      </c>
      <c r="L6" s="6">
        <v>77128.1083967218</v>
      </c>
      <c r="M6" s="6">
        <v>5653736.3188157398</v>
      </c>
      <c r="N6" s="6">
        <v>266.00248777670498</v>
      </c>
      <c r="O6" s="6">
        <v>1470.07566591616</v>
      </c>
      <c r="P6" s="6">
        <v>6384.09287399801</v>
      </c>
      <c r="Q6" s="6">
        <v>53378.888800335801</v>
      </c>
      <c r="R6" s="6">
        <v>241901.74642375801</v>
      </c>
      <c r="S6" s="6">
        <v>78017.152737574506</v>
      </c>
      <c r="T6" s="6">
        <v>166570.21609099201</v>
      </c>
      <c r="U6" s="6">
        <v>75429.357471693103</v>
      </c>
      <c r="V6" s="6">
        <v>72995.060845645901</v>
      </c>
      <c r="W6" s="6">
        <v>32002.5256750302</v>
      </c>
      <c r="X6" s="6">
        <v>66974.273015084604</v>
      </c>
      <c r="Y6" s="6">
        <v>2456.2716674021199</v>
      </c>
      <c r="Z6" s="6">
        <v>209106.02078100099</v>
      </c>
      <c r="AA6" s="6">
        <v>28252.4915108807</v>
      </c>
      <c r="AB6" s="6">
        <v>38870.909862487199</v>
      </c>
      <c r="AC6" s="6">
        <v>111305.409677401</v>
      </c>
      <c r="AD6" s="6">
        <v>98556.645790335897</v>
      </c>
      <c r="AE6" s="6">
        <v>251641.709782627</v>
      </c>
    </row>
    <row r="7" spans="1:31" x14ac:dyDescent="0.2">
      <c r="A7" s="3">
        <v>6</v>
      </c>
      <c r="B7" s="7" t="s">
        <v>50</v>
      </c>
      <c r="C7" s="8" t="s">
        <v>125</v>
      </c>
      <c r="D7" s="7" t="s">
        <v>34</v>
      </c>
      <c r="E7" s="7" t="s">
        <v>125</v>
      </c>
      <c r="F7" s="7" t="s">
        <v>142</v>
      </c>
      <c r="G7" s="7" t="s">
        <v>109</v>
      </c>
      <c r="H7" s="9">
        <v>1153866.4187501699</v>
      </c>
      <c r="I7" s="9">
        <v>644711.98511378595</v>
      </c>
      <c r="J7" s="9">
        <v>1028761.7173027</v>
      </c>
      <c r="K7" s="9">
        <v>19643579.3510243</v>
      </c>
      <c r="L7" s="9">
        <v>256932.25387647399</v>
      </c>
      <c r="M7" s="9">
        <v>9138997.0079774298</v>
      </c>
      <c r="N7" s="9">
        <v>885.36080704040205</v>
      </c>
      <c r="O7" s="9">
        <v>3925.8733050860901</v>
      </c>
      <c r="P7" s="9">
        <v>13606.477487742</v>
      </c>
      <c r="Q7" s="9">
        <v>85420.763051949907</v>
      </c>
      <c r="R7" s="9">
        <v>949409.41673983401</v>
      </c>
      <c r="S7" s="9">
        <v>89500.152892422499</v>
      </c>
      <c r="T7" s="9">
        <v>655359.18840458803</v>
      </c>
      <c r="U7" s="9">
        <v>171949.793562365</v>
      </c>
      <c r="V7" s="9">
        <v>286205.45877111499</v>
      </c>
      <c r="W7" s="9">
        <v>90488.530238829801</v>
      </c>
      <c r="X7" s="9">
        <v>88147.681115530693</v>
      </c>
      <c r="Y7" s="9">
        <v>9863.5756454697894</v>
      </c>
      <c r="Z7" s="9">
        <v>819436.013184499</v>
      </c>
      <c r="AA7" s="9">
        <v>113004.932955226</v>
      </c>
      <c r="AB7" s="9">
        <v>153232.56680133901</v>
      </c>
      <c r="AC7" s="9">
        <v>440920.208933271</v>
      </c>
      <c r="AD7" s="9">
        <v>392756.839307983</v>
      </c>
      <c r="AE7" s="9">
        <v>1018178.68905342</v>
      </c>
    </row>
    <row r="8" spans="1:31" x14ac:dyDescent="0.2">
      <c r="A8" s="3">
        <v>7</v>
      </c>
      <c r="B8" s="4" t="s">
        <v>41</v>
      </c>
      <c r="C8" s="5" t="s">
        <v>125</v>
      </c>
      <c r="D8" s="4" t="s">
        <v>60</v>
      </c>
      <c r="E8" s="4" t="s">
        <v>125</v>
      </c>
      <c r="F8" s="4" t="s">
        <v>126</v>
      </c>
      <c r="G8" s="4" t="s">
        <v>109</v>
      </c>
      <c r="H8" s="6">
        <v>2857256.6632825001</v>
      </c>
      <c r="I8" s="6">
        <v>1583225.3006905599</v>
      </c>
      <c r="J8" s="6">
        <v>2497546.1075130999</v>
      </c>
      <c r="K8" s="6">
        <v>22853943.031349201</v>
      </c>
      <c r="L8" s="6">
        <v>608403.09889690403</v>
      </c>
      <c r="M8" s="6">
        <v>16116666.2307583</v>
      </c>
      <c r="N8" s="6">
        <v>2047.48006856404</v>
      </c>
      <c r="O8" s="6">
        <v>8609.2628885865506</v>
      </c>
      <c r="P8" s="6">
        <v>27531.179511949002</v>
      </c>
      <c r="Q8" s="6">
        <v>146101.86587065901</v>
      </c>
      <c r="R8" s="6">
        <v>2496515.58150075</v>
      </c>
      <c r="S8" s="6">
        <v>113798.137999991</v>
      </c>
      <c r="T8" s="6">
        <v>1636927.6782774001</v>
      </c>
      <c r="U8" s="6">
        <v>359581.46428387403</v>
      </c>
      <c r="V8" s="6">
        <v>700301.09044848301</v>
      </c>
      <c r="W8" s="6">
        <v>178592.28368013899</v>
      </c>
      <c r="X8" s="6">
        <v>127017.824665849</v>
      </c>
      <c r="Y8" s="6">
        <v>24367.789232309198</v>
      </c>
      <c r="Z8" s="6">
        <v>2228374.1567085302</v>
      </c>
      <c r="AA8" s="6">
        <v>283199.07600680197</v>
      </c>
      <c r="AB8" s="6">
        <v>383141.92831707897</v>
      </c>
      <c r="AC8" s="6">
        <v>1103631.8208622599</v>
      </c>
      <c r="AD8" s="6">
        <v>979379.47345067805</v>
      </c>
      <c r="AE8" s="6">
        <v>2594646.1212076</v>
      </c>
    </row>
    <row r="9" spans="1:31" x14ac:dyDescent="0.2">
      <c r="A9" s="3">
        <v>8</v>
      </c>
      <c r="B9" s="7" t="s">
        <v>98</v>
      </c>
      <c r="C9" s="8" t="s">
        <v>125</v>
      </c>
      <c r="D9" s="7" t="s">
        <v>86</v>
      </c>
      <c r="E9" s="7" t="s">
        <v>125</v>
      </c>
      <c r="F9" s="7" t="s">
        <v>94</v>
      </c>
      <c r="G9" s="7" t="s">
        <v>109</v>
      </c>
      <c r="H9" s="9">
        <v>10719442.239786699</v>
      </c>
      <c r="I9" s="9">
        <v>6523189.3539165203</v>
      </c>
      <c r="J9" s="9">
        <v>9263284.2654896807</v>
      </c>
      <c r="K9" s="9">
        <v>38396469.268036202</v>
      </c>
      <c r="L9" s="9">
        <v>2642566.5190475201</v>
      </c>
      <c r="M9" s="9">
        <v>51586545.354847401</v>
      </c>
      <c r="N9" s="9">
        <v>7717.41901531444</v>
      </c>
      <c r="O9" s="9">
        <v>32170.874437036498</v>
      </c>
      <c r="P9" s="9">
        <v>98086.405731663603</v>
      </c>
      <c r="Q9" s="9">
        <v>469959.63478390803</v>
      </c>
      <c r="R9" s="9">
        <v>9192547.4330122005</v>
      </c>
      <c r="S9" s="9">
        <v>242733.859964178</v>
      </c>
      <c r="T9" s="9">
        <v>7130301.3095331099</v>
      </c>
      <c r="U9" s="9">
        <v>1394567.26877676</v>
      </c>
      <c r="V9" s="9">
        <v>3089947.2360451599</v>
      </c>
      <c r="W9" s="9">
        <v>662247.82336680195</v>
      </c>
      <c r="X9" s="9">
        <v>318818.50465705502</v>
      </c>
      <c r="Y9" s="9">
        <v>101098.664173814</v>
      </c>
      <c r="Z9" s="9">
        <v>9176518.3195492607</v>
      </c>
      <c r="AA9" s="9">
        <v>1089046.8956394901</v>
      </c>
      <c r="AB9" s="9">
        <v>1574075.1025035901</v>
      </c>
      <c r="AC9" s="9">
        <v>4490999.1050518798</v>
      </c>
      <c r="AD9" s="9">
        <v>3825025.0963377198</v>
      </c>
      <c r="AE9" s="9">
        <v>9932529.8390020505</v>
      </c>
    </row>
    <row r="10" spans="1:31" x14ac:dyDescent="0.2">
      <c r="A10" s="3">
        <v>9</v>
      </c>
      <c r="B10" s="4" t="s">
        <v>3</v>
      </c>
      <c r="C10" s="5" t="s">
        <v>125</v>
      </c>
      <c r="D10" s="4" t="s">
        <v>35</v>
      </c>
      <c r="E10" s="4" t="s">
        <v>125</v>
      </c>
      <c r="F10" s="4" t="s">
        <v>71</v>
      </c>
      <c r="G10" s="4" t="s">
        <v>109</v>
      </c>
      <c r="H10" s="6">
        <v>25745310.0291292</v>
      </c>
      <c r="I10" s="6">
        <v>16731837.312239001</v>
      </c>
      <c r="J10" s="6">
        <v>23714854.733913898</v>
      </c>
      <c r="K10" s="6">
        <v>70129957.887768105</v>
      </c>
      <c r="L10" s="6">
        <v>6387502.3245510701</v>
      </c>
      <c r="M10" s="6">
        <v>121743520.407226</v>
      </c>
      <c r="N10" s="6">
        <v>18991.2866885806</v>
      </c>
      <c r="O10" s="6">
        <v>77310.328791524196</v>
      </c>
      <c r="P10" s="6">
        <v>233422.392761058</v>
      </c>
      <c r="Q10" s="6">
        <v>1057626.0413419399</v>
      </c>
      <c r="R10" s="6">
        <v>24829417.744922001</v>
      </c>
      <c r="S10" s="6">
        <v>534627.61616050801</v>
      </c>
      <c r="T10" s="6">
        <v>17892488.957122799</v>
      </c>
      <c r="U10" s="6">
        <v>3431978.87582974</v>
      </c>
      <c r="V10" s="6">
        <v>7780892.6366748996</v>
      </c>
      <c r="W10" s="6">
        <v>1657633.8859903801</v>
      </c>
      <c r="X10" s="6">
        <v>760534.37413215102</v>
      </c>
      <c r="Y10" s="6">
        <v>248359.55757721799</v>
      </c>
      <c r="Z10" s="6">
        <v>23256188.567736801</v>
      </c>
      <c r="AA10" s="6">
        <v>3470121.4895025399</v>
      </c>
      <c r="AB10" s="6">
        <v>4099676.0858366</v>
      </c>
      <c r="AC10" s="6">
        <v>11058778.909098599</v>
      </c>
      <c r="AD10" s="6">
        <v>9790283.1984583307</v>
      </c>
      <c r="AE10" s="6">
        <v>25363348.2173636</v>
      </c>
    </row>
    <row r="11" spans="1:31" x14ac:dyDescent="0.2">
      <c r="A11" s="3">
        <v>10</v>
      </c>
      <c r="B11" s="7" t="s">
        <v>84</v>
      </c>
      <c r="C11" s="8" t="s">
        <v>125</v>
      </c>
      <c r="D11" s="7" t="s">
        <v>155</v>
      </c>
      <c r="E11" s="7" t="s">
        <v>125</v>
      </c>
      <c r="F11" s="7" t="s">
        <v>145</v>
      </c>
      <c r="G11" s="7" t="s">
        <v>109</v>
      </c>
      <c r="H11" s="9">
        <v>99926083.850675896</v>
      </c>
      <c r="I11" s="9">
        <v>65773329.523284703</v>
      </c>
      <c r="J11" s="9">
        <v>92863847.110264599</v>
      </c>
      <c r="K11" s="9">
        <v>208813691.90304199</v>
      </c>
      <c r="L11" s="9">
        <v>24326790.504687801</v>
      </c>
      <c r="M11" s="9">
        <v>462398190.51306403</v>
      </c>
      <c r="N11" s="9">
        <v>74809.376949186102</v>
      </c>
      <c r="O11" s="9">
        <v>300741.23791294103</v>
      </c>
      <c r="P11" s="9">
        <v>917782.50971249002</v>
      </c>
      <c r="Q11" s="9">
        <v>4671014.58402145</v>
      </c>
      <c r="R11" s="9">
        <v>98292613.999259904</v>
      </c>
      <c r="S11" s="9">
        <v>1936166.54739682</v>
      </c>
      <c r="T11" s="9">
        <v>69518843.607752502</v>
      </c>
      <c r="U11" s="9">
        <v>13472005.2358726</v>
      </c>
      <c r="V11" s="9">
        <v>29942268.7787829</v>
      </c>
      <c r="W11" s="9">
        <v>6551420.9966721199</v>
      </c>
      <c r="X11" s="9">
        <v>3043430.7758550802</v>
      </c>
      <c r="Y11" s="9">
        <v>941259.60256250098</v>
      </c>
      <c r="Z11" s="9">
        <v>89461520.502347693</v>
      </c>
      <c r="AA11" s="9">
        <v>13506468.368444599</v>
      </c>
      <c r="AB11" s="9">
        <v>15675271.853614001</v>
      </c>
      <c r="AC11" s="9">
        <v>41601702.0569515</v>
      </c>
      <c r="AD11" s="9">
        <v>36450852.295169897</v>
      </c>
      <c r="AE11" s="9">
        <v>94606987.916988805</v>
      </c>
    </row>
    <row r="12" spans="1:31" x14ac:dyDescent="0.2">
      <c r="A12" s="3">
        <v>11</v>
      </c>
      <c r="B12" s="10" t="s">
        <v>83</v>
      </c>
      <c r="C12" s="3" t="s">
        <v>125</v>
      </c>
      <c r="D12" s="10" t="s">
        <v>155</v>
      </c>
      <c r="E12" s="10" t="s">
        <v>125</v>
      </c>
      <c r="F12" s="10" t="s">
        <v>125</v>
      </c>
      <c r="G12" s="10" t="s">
        <v>125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52</v>
      </c>
      <c r="C13" s="8" t="s">
        <v>125</v>
      </c>
      <c r="D13" s="7" t="s">
        <v>53</v>
      </c>
      <c r="E13" s="7" t="s">
        <v>125</v>
      </c>
      <c r="F13" s="7" t="s">
        <v>129</v>
      </c>
      <c r="G13" s="7" t="s">
        <v>109</v>
      </c>
      <c r="H13" s="9">
        <v>525966.73083342402</v>
      </c>
      <c r="I13" s="9">
        <v>249234.65788670201</v>
      </c>
      <c r="J13" s="9">
        <v>363648.637964005</v>
      </c>
      <c r="K13" s="9">
        <v>18567408.476751398</v>
      </c>
      <c r="L13" s="9">
        <v>118375.330849797</v>
      </c>
      <c r="M13" s="9">
        <v>6239280.7370011397</v>
      </c>
      <c r="N13" s="9">
        <v>614.68004844148197</v>
      </c>
      <c r="O13" s="9">
        <v>1938.1315197485901</v>
      </c>
      <c r="P13" s="9">
        <v>10289.0642032255</v>
      </c>
      <c r="Q13" s="9">
        <v>56879.739006599099</v>
      </c>
      <c r="R13" s="9">
        <v>395916.22187022399</v>
      </c>
      <c r="S13" s="9">
        <v>67627.704585887201</v>
      </c>
      <c r="T13" s="9">
        <v>253999.75708319899</v>
      </c>
      <c r="U13" s="9">
        <v>103742.057637493</v>
      </c>
      <c r="V13" s="9">
        <v>135417.374101778</v>
      </c>
      <c r="W13" s="9">
        <v>38498.036815284002</v>
      </c>
      <c r="X13" s="9">
        <v>70106.122805156701</v>
      </c>
      <c r="Y13" s="9">
        <v>3890.5513879201999</v>
      </c>
      <c r="Z13" s="9">
        <v>351538.45960933698</v>
      </c>
      <c r="AA13" s="9">
        <v>75263.801998982104</v>
      </c>
      <c r="AB13" s="9">
        <v>59849.680760458301</v>
      </c>
      <c r="AC13" s="9">
        <v>179999.04581739099</v>
      </c>
      <c r="AD13" s="9">
        <v>149957.05302695101</v>
      </c>
      <c r="AE13" s="9">
        <v>362842.37211968598</v>
      </c>
    </row>
    <row r="14" spans="1:31" x14ac:dyDescent="0.2">
      <c r="A14" s="3">
        <v>13</v>
      </c>
      <c r="B14" s="4" t="s">
        <v>78</v>
      </c>
      <c r="C14" s="5" t="s">
        <v>125</v>
      </c>
      <c r="D14" s="4" t="s">
        <v>6</v>
      </c>
      <c r="E14" s="4" t="s">
        <v>125</v>
      </c>
      <c r="F14" s="4" t="s">
        <v>4</v>
      </c>
      <c r="G14" s="4" t="s">
        <v>109</v>
      </c>
      <c r="H14" s="6">
        <v>45501.046035536703</v>
      </c>
      <c r="I14" s="6">
        <v>14016.906359811899</v>
      </c>
      <c r="J14" s="6">
        <v>23245.5653271029</v>
      </c>
      <c r="K14" s="6">
        <v>18098895.0303252</v>
      </c>
      <c r="L14" s="6">
        <v>31659.187653288998</v>
      </c>
      <c r="M14" s="6">
        <v>4567189.9252232499</v>
      </c>
      <c r="N14" s="6">
        <v>45.333408466795397</v>
      </c>
      <c r="O14" s="6">
        <v>301.33651332691198</v>
      </c>
      <c r="P14" s="6">
        <v>2849.6180339074699</v>
      </c>
      <c r="Q14" s="6">
        <v>34323.866943164998</v>
      </c>
      <c r="R14" s="6">
        <v>20783.129606286398</v>
      </c>
      <c r="S14" s="6">
        <v>57624.929144062298</v>
      </c>
      <c r="T14" s="6">
        <v>12456.776042277799</v>
      </c>
      <c r="U14" s="6">
        <v>3064.9956524895201</v>
      </c>
      <c r="V14" s="6">
        <v>7391.2461051658101</v>
      </c>
      <c r="W14" s="6">
        <v>9014.1868065467897</v>
      </c>
      <c r="X14" s="6">
        <v>60172.168536774901</v>
      </c>
      <c r="Y14" s="6">
        <v>236.69436236726</v>
      </c>
      <c r="Z14" s="6">
        <v>18020.106297413298</v>
      </c>
      <c r="AA14" s="6">
        <v>15445.335766272199</v>
      </c>
      <c r="AB14" s="6">
        <v>2933.6353808280201</v>
      </c>
      <c r="AC14" s="6">
        <v>9528.5230118796608</v>
      </c>
      <c r="AD14" s="6">
        <v>7969.5747437951804</v>
      </c>
      <c r="AE14" s="6">
        <v>19642.244895374501</v>
      </c>
    </row>
    <row r="15" spans="1:31" x14ac:dyDescent="0.2">
      <c r="A15" s="3">
        <v>14</v>
      </c>
      <c r="B15" s="7" t="s">
        <v>72</v>
      </c>
      <c r="C15" s="8" t="s">
        <v>125</v>
      </c>
      <c r="D15" s="7" t="s">
        <v>107</v>
      </c>
      <c r="E15" s="7" t="s">
        <v>125</v>
      </c>
      <c r="F15" s="7" t="s">
        <v>31</v>
      </c>
      <c r="G15" s="7" t="s">
        <v>109</v>
      </c>
      <c r="H15" s="9">
        <v>11721278.221748199</v>
      </c>
      <c r="I15" s="9">
        <v>7154159.1926628901</v>
      </c>
      <c r="J15" s="9">
        <v>9293041.8694299199</v>
      </c>
      <c r="K15" s="9">
        <v>27327876.697617501</v>
      </c>
      <c r="L15" s="9">
        <v>2813240.3379146699</v>
      </c>
      <c r="M15" s="9">
        <v>57793149.269964203</v>
      </c>
      <c r="N15" s="9">
        <v>7985.56518397131</v>
      </c>
      <c r="O15" s="9">
        <v>30870.694950657999</v>
      </c>
      <c r="P15" s="9">
        <v>98587.682328910203</v>
      </c>
      <c r="Q15" s="9">
        <v>474597.74004642101</v>
      </c>
      <c r="R15" s="9">
        <v>10587328.1277309</v>
      </c>
      <c r="S15" s="9">
        <v>236677.677540962</v>
      </c>
      <c r="T15" s="9">
        <v>6920853.80947256</v>
      </c>
      <c r="U15" s="9">
        <v>1534201.3349264499</v>
      </c>
      <c r="V15" s="9">
        <v>3739376.4846692602</v>
      </c>
      <c r="W15" s="9">
        <v>711124.169033785</v>
      </c>
      <c r="X15" s="9">
        <v>314858.40995396598</v>
      </c>
      <c r="Y15" s="9">
        <v>96583.191084717793</v>
      </c>
      <c r="Z15" s="9">
        <v>10643693.577032501</v>
      </c>
      <c r="AA15" s="9">
        <v>1069575.4319984601</v>
      </c>
      <c r="AB15" s="9">
        <v>1653698.2217854499</v>
      </c>
      <c r="AC15" s="9">
        <v>5061535.0943539003</v>
      </c>
      <c r="AD15" s="9">
        <v>4112377.0436131</v>
      </c>
      <c r="AE15" s="9">
        <v>9812967.4318761509</v>
      </c>
    </row>
    <row r="16" spans="1:31" x14ac:dyDescent="0.2">
      <c r="A16" s="3">
        <v>15</v>
      </c>
      <c r="B16" s="4" t="s">
        <v>11</v>
      </c>
      <c r="C16" s="5" t="s">
        <v>125</v>
      </c>
      <c r="D16" s="4" t="s">
        <v>59</v>
      </c>
      <c r="E16" s="4" t="s">
        <v>125</v>
      </c>
      <c r="F16" s="4" t="s">
        <v>104</v>
      </c>
      <c r="G16" s="4" t="s">
        <v>109</v>
      </c>
      <c r="H16" s="6">
        <v>203119.867034578</v>
      </c>
      <c r="I16" s="6">
        <v>34183.575902742203</v>
      </c>
      <c r="J16" s="6">
        <v>82112.652721916806</v>
      </c>
      <c r="K16" s="6">
        <v>17248501.763521399</v>
      </c>
      <c r="L16" s="6">
        <v>25329.836866208901</v>
      </c>
      <c r="M16" s="6">
        <v>4428204.0607720204</v>
      </c>
      <c r="N16" s="6">
        <v>130.66727585622999</v>
      </c>
      <c r="O16" s="6">
        <v>908.02892100310396</v>
      </c>
      <c r="P16" s="6">
        <v>4306.6493131686102</v>
      </c>
      <c r="Q16" s="6">
        <v>42988.5909901505</v>
      </c>
      <c r="R16" s="6">
        <v>38707.754724997598</v>
      </c>
      <c r="S16" s="6">
        <v>69082.039913048298</v>
      </c>
      <c r="T16" s="6">
        <v>25480.200103499399</v>
      </c>
      <c r="U16" s="6">
        <v>50912.681943089301</v>
      </c>
      <c r="V16" s="6">
        <v>11445.924185981399</v>
      </c>
      <c r="W16" s="6">
        <v>12662.283795792</v>
      </c>
      <c r="X16" s="6">
        <v>63755.993245863901</v>
      </c>
      <c r="Y16" s="6">
        <v>456.831033186946</v>
      </c>
      <c r="Z16" s="6">
        <v>29175.096319459699</v>
      </c>
      <c r="AA16" s="6">
        <v>16008.131690218201</v>
      </c>
      <c r="AB16" s="6">
        <v>5577.7589212438497</v>
      </c>
      <c r="AC16" s="6">
        <v>17249.773172229001</v>
      </c>
      <c r="AD16" s="6">
        <v>14951.179612285199</v>
      </c>
      <c r="AE16" s="6">
        <v>38290.2870036327</v>
      </c>
    </row>
    <row r="17" spans="1:31" x14ac:dyDescent="0.2">
      <c r="A17" s="3">
        <v>16</v>
      </c>
      <c r="B17" s="7" t="s">
        <v>49</v>
      </c>
      <c r="C17" s="8" t="s">
        <v>125</v>
      </c>
      <c r="D17" s="7" t="s">
        <v>143</v>
      </c>
      <c r="E17" s="7" t="s">
        <v>125</v>
      </c>
      <c r="F17" s="7" t="s">
        <v>48</v>
      </c>
      <c r="G17" s="7" t="s">
        <v>109</v>
      </c>
      <c r="H17" s="9">
        <v>272676.97032421501</v>
      </c>
      <c r="I17" s="9">
        <v>17138.288195486301</v>
      </c>
      <c r="J17" s="9">
        <v>129004.027143994</v>
      </c>
      <c r="K17" s="9">
        <v>17143819.465379301</v>
      </c>
      <c r="L17" s="9">
        <v>18988.613190689699</v>
      </c>
      <c r="M17" s="9">
        <v>4342813.5686512999</v>
      </c>
      <c r="N17" s="9">
        <v>7374.5696508189203</v>
      </c>
      <c r="O17" s="9">
        <v>53973.919466885898</v>
      </c>
      <c r="P17" s="9">
        <v>129948.47708158</v>
      </c>
      <c r="Q17" s="9">
        <v>944627.88274751499</v>
      </c>
      <c r="R17" s="9">
        <v>5260.9704295741603</v>
      </c>
      <c r="S17" s="9">
        <v>64538.094195201302</v>
      </c>
      <c r="T17" s="9">
        <v>2533.5580057529901</v>
      </c>
      <c r="U17" s="9">
        <v>49895.020369575199</v>
      </c>
      <c r="V17" s="9">
        <v>1566.0860752972501</v>
      </c>
      <c r="W17" s="9">
        <v>19364.4660762069</v>
      </c>
      <c r="X17" s="9">
        <v>59609.491791393099</v>
      </c>
      <c r="Y17" s="9">
        <v>100.12442212432801</v>
      </c>
      <c r="Z17" s="9">
        <v>2091.4889065993598</v>
      </c>
      <c r="AA17" s="9">
        <v>4459.4310492239301</v>
      </c>
      <c r="AB17" s="9">
        <v>305.33666593050702</v>
      </c>
      <c r="AC17" s="9">
        <v>1194.71682359448</v>
      </c>
      <c r="AD17" s="9">
        <v>928.03021494601501</v>
      </c>
      <c r="AE17" s="9">
        <v>2430.8752709897999</v>
      </c>
    </row>
    <row r="18" spans="1:31" x14ac:dyDescent="0.2">
      <c r="A18" s="3">
        <v>17</v>
      </c>
      <c r="B18" s="4" t="s">
        <v>78</v>
      </c>
      <c r="C18" s="5" t="s">
        <v>125</v>
      </c>
      <c r="D18" s="4" t="s">
        <v>23</v>
      </c>
      <c r="E18" s="4" t="s">
        <v>125</v>
      </c>
      <c r="F18" s="4" t="s">
        <v>29</v>
      </c>
      <c r="G18" s="4" t="s">
        <v>109</v>
      </c>
      <c r="H18" s="6">
        <v>173731.92149380699</v>
      </c>
      <c r="I18" s="6">
        <v>11617.3963900319</v>
      </c>
      <c r="J18" s="6">
        <v>50432.879557007298</v>
      </c>
      <c r="K18" s="6">
        <v>17607921.014182702</v>
      </c>
      <c r="L18" s="6">
        <v>15571.162546977201</v>
      </c>
      <c r="M18" s="6">
        <v>4350143.1379678799</v>
      </c>
      <c r="N18" s="6">
        <v>125.333902949348</v>
      </c>
      <c r="O18" s="6">
        <v>896.02813761815003</v>
      </c>
      <c r="P18" s="6">
        <v>4461.3631914576999</v>
      </c>
      <c r="Q18" s="6">
        <v>44560.730635155502</v>
      </c>
      <c r="R18" s="6">
        <v>4470.0337325909504</v>
      </c>
      <c r="S18" s="6">
        <v>73274.900732342998</v>
      </c>
      <c r="T18" s="6">
        <v>1604.75719182948</v>
      </c>
      <c r="U18" s="6">
        <v>43312.348353441601</v>
      </c>
      <c r="V18" s="6">
        <v>1164.71448092933</v>
      </c>
      <c r="W18" s="6">
        <v>10337.7421828681</v>
      </c>
      <c r="X18" s="6">
        <v>61371.6414023549</v>
      </c>
      <c r="Y18" s="6">
        <v>70.660311967659894</v>
      </c>
      <c r="Z18" s="6">
        <v>748.68631744327399</v>
      </c>
      <c r="AA18" s="6">
        <v>4064.2813830354298</v>
      </c>
      <c r="AB18" s="6">
        <v>98.000338754512697</v>
      </c>
      <c r="AC18" s="6">
        <v>554.01076056268096</v>
      </c>
      <c r="AD18" s="6">
        <v>523.34293643652995</v>
      </c>
      <c r="AE18" s="6">
        <v>1288.0583149845199</v>
      </c>
    </row>
    <row r="19" spans="1:31" x14ac:dyDescent="0.2">
      <c r="A19" s="3">
        <v>18</v>
      </c>
      <c r="B19" s="7" t="s">
        <v>22</v>
      </c>
      <c r="C19" s="8" t="s">
        <v>125</v>
      </c>
      <c r="D19" s="7" t="s">
        <v>66</v>
      </c>
      <c r="E19" s="7" t="s">
        <v>125</v>
      </c>
      <c r="F19" s="7" t="s">
        <v>68</v>
      </c>
      <c r="G19" s="7" t="s">
        <v>109</v>
      </c>
      <c r="H19" s="9">
        <v>371144.375195926</v>
      </c>
      <c r="I19" s="9">
        <v>93708.357584302605</v>
      </c>
      <c r="J19" s="9">
        <v>255945.030434196</v>
      </c>
      <c r="K19" s="9">
        <v>17905567.431224</v>
      </c>
      <c r="L19" s="9">
        <v>46693.096960841802</v>
      </c>
      <c r="M19" s="9">
        <v>4779686.8604510697</v>
      </c>
      <c r="N19" s="9">
        <v>216.001633345687</v>
      </c>
      <c r="O19" s="9">
        <v>1450.7403619321401</v>
      </c>
      <c r="P19" s="9">
        <v>5435.0342827140803</v>
      </c>
      <c r="Q19" s="9">
        <v>50489.075478386898</v>
      </c>
      <c r="R19" s="9">
        <v>122455.725046213</v>
      </c>
      <c r="S19" s="9">
        <v>73501.338923714095</v>
      </c>
      <c r="T19" s="9">
        <v>86228.146375116601</v>
      </c>
      <c r="U19" s="9">
        <v>60272.846238319697</v>
      </c>
      <c r="V19" s="9">
        <v>36380.316748528901</v>
      </c>
      <c r="W19" s="9">
        <v>27965.405583298001</v>
      </c>
      <c r="X19" s="9">
        <v>66964.2741877683</v>
      </c>
      <c r="Y19" s="9">
        <v>1286.12593025052</v>
      </c>
      <c r="Z19" s="9">
        <v>101767.53037086999</v>
      </c>
      <c r="AA19" s="9">
        <v>16111.748011481001</v>
      </c>
      <c r="AB19" s="9">
        <v>19350.4492962812</v>
      </c>
      <c r="AC19" s="9">
        <v>55197.800690476703</v>
      </c>
      <c r="AD19" s="9">
        <v>48487.619863586202</v>
      </c>
      <c r="AE19" s="9">
        <v>126296.721388691</v>
      </c>
    </row>
    <row r="20" spans="1:31" x14ac:dyDescent="0.2">
      <c r="A20" s="3">
        <v>19</v>
      </c>
      <c r="B20" s="4" t="s">
        <v>51</v>
      </c>
      <c r="C20" s="5" t="s">
        <v>125</v>
      </c>
      <c r="D20" s="4" t="s">
        <v>115</v>
      </c>
      <c r="E20" s="4" t="s">
        <v>125</v>
      </c>
      <c r="F20" s="4" t="s">
        <v>56</v>
      </c>
      <c r="G20" s="4" t="s">
        <v>109</v>
      </c>
      <c r="H20" s="6">
        <v>10653323.531385301</v>
      </c>
      <c r="I20" s="6">
        <v>6655123.3133580899</v>
      </c>
      <c r="J20" s="6">
        <v>9549942.5401981901</v>
      </c>
      <c r="K20" s="6">
        <v>38896831.1004273</v>
      </c>
      <c r="L20" s="6">
        <v>2645702.8955984199</v>
      </c>
      <c r="M20" s="6">
        <v>51299278.7359301</v>
      </c>
      <c r="N20" s="6">
        <v>7627.3695243777001</v>
      </c>
      <c r="O20" s="6">
        <v>32214.989930525</v>
      </c>
      <c r="P20" s="6">
        <v>96280.080326632698</v>
      </c>
      <c r="Q20" s="6">
        <v>462245.76150043798</v>
      </c>
      <c r="R20" s="6">
        <v>9715264.9516007993</v>
      </c>
      <c r="S20" s="6">
        <v>253173.29963872</v>
      </c>
      <c r="T20" s="6">
        <v>7326232.9272254203</v>
      </c>
      <c r="U20" s="6">
        <v>1416045.5473507</v>
      </c>
      <c r="V20" s="6">
        <v>3166972.4811281501</v>
      </c>
      <c r="W20" s="6">
        <v>703567.88232294004</v>
      </c>
      <c r="X20" s="6">
        <v>338512.51653437299</v>
      </c>
      <c r="Y20" s="6">
        <v>101437.189325327</v>
      </c>
      <c r="Z20" s="6">
        <v>9132332.6790516395</v>
      </c>
      <c r="AA20" s="6">
        <v>1114484.4585182699</v>
      </c>
      <c r="AB20" s="6">
        <v>1574016.1616916601</v>
      </c>
      <c r="AC20" s="6">
        <v>4464077.7230941504</v>
      </c>
      <c r="AD20" s="6">
        <v>3839952.07324568</v>
      </c>
      <c r="AE20" s="6">
        <v>10049550.536969399</v>
      </c>
    </row>
    <row r="21" spans="1:31" x14ac:dyDescent="0.2">
      <c r="A21" s="3">
        <v>20</v>
      </c>
      <c r="B21" s="7" t="s">
        <v>138</v>
      </c>
      <c r="C21" s="8" t="s">
        <v>125</v>
      </c>
      <c r="D21" s="7" t="s">
        <v>150</v>
      </c>
      <c r="E21" s="7" t="s">
        <v>125</v>
      </c>
      <c r="F21" s="7" t="s">
        <v>85</v>
      </c>
      <c r="G21" s="7" t="s">
        <v>109</v>
      </c>
      <c r="H21" s="9">
        <v>219441.220575605</v>
      </c>
      <c r="I21" s="9">
        <v>34436.1827282347</v>
      </c>
      <c r="J21" s="9">
        <v>77803.354699057396</v>
      </c>
      <c r="K21" s="9">
        <v>17581286.689044699</v>
      </c>
      <c r="L21" s="9">
        <v>26918.672140366001</v>
      </c>
      <c r="M21" s="9">
        <v>4446820.76300311</v>
      </c>
      <c r="N21" s="9">
        <v>135.33397896976899</v>
      </c>
      <c r="O21" s="9">
        <v>918.69624896727896</v>
      </c>
      <c r="P21" s="9">
        <v>4221.2911435497899</v>
      </c>
      <c r="Q21" s="9">
        <v>42670.976355738399</v>
      </c>
      <c r="R21" s="9">
        <v>37775.364738945696</v>
      </c>
      <c r="S21" s="9">
        <v>62319.336917194603</v>
      </c>
      <c r="T21" s="9">
        <v>26626.124101513898</v>
      </c>
      <c r="U21" s="9">
        <v>55903.175404406502</v>
      </c>
      <c r="V21" s="9">
        <v>12841.8380432552</v>
      </c>
      <c r="W21" s="9">
        <v>12586.888009666</v>
      </c>
      <c r="X21" s="9">
        <v>61770.179455823803</v>
      </c>
      <c r="Y21" s="9">
        <v>458.84146789879901</v>
      </c>
      <c r="Z21" s="9">
        <v>31386.255791686999</v>
      </c>
      <c r="AA21" s="9">
        <v>14159.6638967079</v>
      </c>
      <c r="AB21" s="9">
        <v>5911.9179269605202</v>
      </c>
      <c r="AC21" s="9">
        <v>18412.704526641399</v>
      </c>
      <c r="AD21" s="9">
        <v>15225.507824109</v>
      </c>
      <c r="AE21" s="9">
        <v>39267.355446250302</v>
      </c>
    </row>
    <row r="22" spans="1:31" x14ac:dyDescent="0.2">
      <c r="A22" s="3">
        <v>21</v>
      </c>
      <c r="B22" s="4" t="s">
        <v>112</v>
      </c>
      <c r="C22" s="5" t="s">
        <v>125</v>
      </c>
      <c r="D22" s="4" t="s">
        <v>101</v>
      </c>
      <c r="E22" s="4" t="s">
        <v>125</v>
      </c>
      <c r="F22" s="4" t="s">
        <v>152</v>
      </c>
      <c r="G22" s="4" t="s">
        <v>109</v>
      </c>
      <c r="H22" s="6">
        <v>11497167.1046774</v>
      </c>
      <c r="I22" s="6">
        <v>2151543.4615979702</v>
      </c>
      <c r="J22" s="6">
        <v>1830948.5402111399</v>
      </c>
      <c r="K22" s="6">
        <v>60675875.4382101</v>
      </c>
      <c r="L22" s="6">
        <v>29101.648036226299</v>
      </c>
      <c r="M22" s="6">
        <v>202144547.87459901</v>
      </c>
      <c r="N22" s="6">
        <v>16358.027057994101</v>
      </c>
      <c r="O22" s="6">
        <v>116543.343677211</v>
      </c>
      <c r="P22" s="6">
        <v>282026.665441725</v>
      </c>
      <c r="Q22" s="6">
        <v>1917690.4728184401</v>
      </c>
      <c r="R22" s="6">
        <v>79572.375410740904</v>
      </c>
      <c r="S22" s="6">
        <v>75285.247889142993</v>
      </c>
      <c r="T22" s="6">
        <v>1708.1031574536501</v>
      </c>
      <c r="U22" s="6">
        <v>1345.3967262690001</v>
      </c>
      <c r="V22" s="6">
        <v>9483.8207786704406</v>
      </c>
      <c r="W22" s="6">
        <v>22193.232433368099</v>
      </c>
      <c r="X22" s="6">
        <v>55850.368005445998</v>
      </c>
      <c r="Y22" s="6">
        <v>131.37471009577999</v>
      </c>
      <c r="Z22" s="6">
        <v>56825.720219822397</v>
      </c>
      <c r="AA22" s="6">
        <v>6083.9402713011696</v>
      </c>
      <c r="AB22" s="6">
        <v>492.00848022629799</v>
      </c>
      <c r="AC22" s="6">
        <v>2564.89733637783</v>
      </c>
      <c r="AD22" s="6">
        <v>2248.1771286282701</v>
      </c>
      <c r="AE22" s="6">
        <v>5526.4047035671601</v>
      </c>
    </row>
    <row r="23" spans="1:31" x14ac:dyDescent="0.2">
      <c r="A23" s="3">
        <v>22</v>
      </c>
      <c r="B23" s="7" t="s">
        <v>95</v>
      </c>
      <c r="C23" s="8" t="s">
        <v>125</v>
      </c>
      <c r="D23" s="7" t="s">
        <v>92</v>
      </c>
      <c r="E23" s="7" t="s">
        <v>125</v>
      </c>
      <c r="F23" s="7" t="s">
        <v>124</v>
      </c>
      <c r="G23" s="7" t="s">
        <v>109</v>
      </c>
      <c r="H23" s="9">
        <v>14448722.374229999</v>
      </c>
      <c r="I23" s="9">
        <v>13699907.882436899</v>
      </c>
      <c r="J23" s="9">
        <v>551670.262576757</v>
      </c>
      <c r="K23" s="9">
        <v>28441768.0431858</v>
      </c>
      <c r="L23" s="9">
        <v>22725.404027591401</v>
      </c>
      <c r="M23" s="9">
        <v>12768654.924061</v>
      </c>
      <c r="N23" s="9">
        <v>21453.437145236399</v>
      </c>
      <c r="O23" s="9">
        <v>152182.01897391799</v>
      </c>
      <c r="P23" s="9">
        <v>377733.15334457101</v>
      </c>
      <c r="Q23" s="9">
        <v>2792434.76382874</v>
      </c>
      <c r="R23" s="9">
        <v>15192.128112332401</v>
      </c>
      <c r="S23" s="9">
        <v>64659.239093205397</v>
      </c>
      <c r="T23" s="9">
        <v>568.01133864062797</v>
      </c>
      <c r="U23" s="9">
        <v>1786.11194678891</v>
      </c>
      <c r="V23" s="9">
        <v>3963.2171325153699</v>
      </c>
      <c r="W23" s="9">
        <v>18675.538429198099</v>
      </c>
      <c r="X23" s="9">
        <v>54442.4005604142</v>
      </c>
      <c r="Y23" s="9">
        <v>86.082528006724303</v>
      </c>
      <c r="Z23" s="9">
        <v>79960.514806757899</v>
      </c>
      <c r="AA23" s="9">
        <v>2967.9384652485301</v>
      </c>
      <c r="AB23" s="9">
        <v>175.334449840665</v>
      </c>
      <c r="AC23" s="9">
        <v>1091.37512143711</v>
      </c>
      <c r="AD23" s="9">
        <v>952.03174717953095</v>
      </c>
      <c r="AE23" s="9">
        <v>2346.1927343800198</v>
      </c>
    </row>
    <row r="24" spans="1:31" x14ac:dyDescent="0.2">
      <c r="A24" s="3">
        <v>23</v>
      </c>
      <c r="B24" s="4" t="s">
        <v>146</v>
      </c>
      <c r="C24" s="5" t="s">
        <v>125</v>
      </c>
      <c r="D24" s="4" t="s">
        <v>136</v>
      </c>
      <c r="E24" s="4" t="s">
        <v>125</v>
      </c>
      <c r="F24" s="4" t="s">
        <v>111</v>
      </c>
      <c r="G24" s="4" t="s">
        <v>109</v>
      </c>
      <c r="H24" s="6">
        <v>13955695.703271</v>
      </c>
      <c r="I24" s="6">
        <v>11783353.988288</v>
      </c>
      <c r="J24" s="6">
        <v>547553.228661253</v>
      </c>
      <c r="K24" s="6">
        <v>27923288.602800801</v>
      </c>
      <c r="L24" s="6">
        <v>26453.8753777731</v>
      </c>
      <c r="M24" s="6">
        <v>16630664.8988654</v>
      </c>
      <c r="N24" s="6">
        <v>20160.882866402</v>
      </c>
      <c r="O24" s="6">
        <v>148817.52898146099</v>
      </c>
      <c r="P24" s="6">
        <v>354377.850414026</v>
      </c>
      <c r="Q24" s="6">
        <v>2638654.90089226</v>
      </c>
      <c r="R24" s="6">
        <v>14574.7941359959</v>
      </c>
      <c r="S24" s="6">
        <v>66667.265843178495</v>
      </c>
      <c r="T24" s="6">
        <v>799.35588344782104</v>
      </c>
      <c r="U24" s="6">
        <v>1605.42434180243</v>
      </c>
      <c r="V24" s="6">
        <v>3385.7353317091902</v>
      </c>
      <c r="W24" s="6">
        <v>20727.096101832602</v>
      </c>
      <c r="X24" s="6">
        <v>56043.294157029697</v>
      </c>
      <c r="Y24" s="6">
        <v>110.70775192553501</v>
      </c>
      <c r="Z24" s="6">
        <v>111810.647039503</v>
      </c>
      <c r="AA24" s="6">
        <v>2115.9220318349699</v>
      </c>
      <c r="AB24" s="6">
        <v>240.66869915721099</v>
      </c>
      <c r="AC24" s="6">
        <v>1108.0429901620701</v>
      </c>
      <c r="AD24" s="6">
        <v>971.36660636830402</v>
      </c>
      <c r="AE24" s="6">
        <v>2622.24077494008</v>
      </c>
    </row>
    <row r="25" spans="1:31" x14ac:dyDescent="0.2">
      <c r="A25" s="3">
        <v>24</v>
      </c>
      <c r="B25" s="7" t="s">
        <v>113</v>
      </c>
      <c r="C25" s="8" t="s">
        <v>125</v>
      </c>
      <c r="D25" s="7" t="s">
        <v>133</v>
      </c>
      <c r="E25" s="7" t="s">
        <v>125</v>
      </c>
      <c r="F25" s="7" t="s">
        <v>130</v>
      </c>
      <c r="G25" s="7" t="s">
        <v>109</v>
      </c>
      <c r="H25" s="9">
        <v>49495029.138054103</v>
      </c>
      <c r="I25" s="9">
        <v>10115429.7301332</v>
      </c>
      <c r="J25" s="9">
        <v>1109509.3392540701</v>
      </c>
      <c r="K25" s="9">
        <v>27525660.062641699</v>
      </c>
      <c r="L25" s="9">
        <v>125313.700022438</v>
      </c>
      <c r="M25" s="9">
        <v>27341205.027141899</v>
      </c>
      <c r="N25" s="9">
        <v>25510.7582207257</v>
      </c>
      <c r="O25" s="9">
        <v>175804.61482968999</v>
      </c>
      <c r="P25" s="9">
        <v>447435.59241079801</v>
      </c>
      <c r="Q25" s="9">
        <v>3409086.4424698302</v>
      </c>
      <c r="R25" s="9">
        <v>355019.65310139302</v>
      </c>
      <c r="S25" s="9">
        <v>114266.400236378</v>
      </c>
      <c r="T25" s="9">
        <v>907.36220976762399</v>
      </c>
      <c r="U25" s="9">
        <v>5100.9128280629402</v>
      </c>
      <c r="V25" s="9">
        <v>10706.0102215154</v>
      </c>
      <c r="W25" s="9">
        <v>21136.386313838</v>
      </c>
      <c r="X25" s="9">
        <v>50017.186850131096</v>
      </c>
      <c r="Y25" s="9">
        <v>73.384403011157502</v>
      </c>
      <c r="Z25" s="9">
        <v>317140.57486920001</v>
      </c>
      <c r="AA25" s="9">
        <v>2193.24397361615</v>
      </c>
      <c r="AB25" s="9">
        <v>946.03137079522105</v>
      </c>
      <c r="AC25" s="9">
        <v>2429.53994937471</v>
      </c>
      <c r="AD25" s="9">
        <v>1958.80134540724</v>
      </c>
      <c r="AE25" s="9">
        <v>4670.76466506419</v>
      </c>
    </row>
    <row r="26" spans="1:31" x14ac:dyDescent="0.2">
      <c r="A26" s="3">
        <v>25</v>
      </c>
      <c r="B26" s="4" t="s">
        <v>8</v>
      </c>
      <c r="C26" s="5" t="s">
        <v>125</v>
      </c>
      <c r="D26" s="4" t="s">
        <v>135</v>
      </c>
      <c r="E26" s="4" t="s">
        <v>125</v>
      </c>
      <c r="F26" s="4" t="s">
        <v>74</v>
      </c>
      <c r="G26" s="4" t="s">
        <v>109</v>
      </c>
      <c r="H26" s="6">
        <v>12221964.9869732</v>
      </c>
      <c r="I26" s="6">
        <v>1250556.89457597</v>
      </c>
      <c r="J26" s="6">
        <v>7658771.4504392203</v>
      </c>
      <c r="K26" s="6">
        <v>24983573.534177501</v>
      </c>
      <c r="L26" s="6">
        <v>42787.498037021498</v>
      </c>
      <c r="M26" s="12" t="s">
        <v>24</v>
      </c>
      <c r="N26" s="6">
        <v>9985.4894310541895</v>
      </c>
      <c r="O26" s="6">
        <v>71875.984455512298</v>
      </c>
      <c r="P26" s="6">
        <v>177990.62932553</v>
      </c>
      <c r="Q26" s="6">
        <v>1178341.89765682</v>
      </c>
      <c r="R26" s="6">
        <v>890676.04003514606</v>
      </c>
      <c r="S26" s="6">
        <v>68534.681483085398</v>
      </c>
      <c r="T26" s="6">
        <v>1894.7929860258701</v>
      </c>
      <c r="U26" s="6">
        <v>3257.7060956169798</v>
      </c>
      <c r="V26" s="6">
        <v>19692.2421595331</v>
      </c>
      <c r="W26" s="6">
        <v>70821.076078817903</v>
      </c>
      <c r="X26" s="6">
        <v>58883.566081999597</v>
      </c>
      <c r="Y26" s="6">
        <v>106.587700456471</v>
      </c>
      <c r="Z26" s="6">
        <v>64082.846976203597</v>
      </c>
      <c r="AA26" s="6">
        <v>2392.7112646823298</v>
      </c>
      <c r="AB26" s="6">
        <v>938.03081263269803</v>
      </c>
      <c r="AC26" s="6">
        <v>4157.2717297196396</v>
      </c>
      <c r="AD26" s="6">
        <v>3640.4645046896499</v>
      </c>
      <c r="AE26" s="6">
        <v>9677.2797236973802</v>
      </c>
    </row>
    <row r="27" spans="1:31" x14ac:dyDescent="0.2">
      <c r="A27" s="3">
        <v>26</v>
      </c>
      <c r="B27" s="7" t="s">
        <v>97</v>
      </c>
      <c r="C27" s="8" t="s">
        <v>125</v>
      </c>
      <c r="D27" s="7" t="s">
        <v>105</v>
      </c>
      <c r="E27" s="7" t="s">
        <v>125</v>
      </c>
      <c r="F27" s="7" t="s">
        <v>15</v>
      </c>
      <c r="G27" s="7" t="s">
        <v>109</v>
      </c>
      <c r="H27" s="9">
        <v>10943428.850681299</v>
      </c>
      <c r="I27" s="9">
        <v>6731708.2045910899</v>
      </c>
      <c r="J27" s="9">
        <v>8898501.3813575096</v>
      </c>
      <c r="K27" s="9">
        <v>38078455.425889403</v>
      </c>
      <c r="L27" s="9">
        <v>2497386.1397214602</v>
      </c>
      <c r="M27" s="9">
        <v>67989603.232979298</v>
      </c>
      <c r="N27" s="9">
        <v>7768.7785828652804</v>
      </c>
      <c r="O27" s="9">
        <v>28446.296438635702</v>
      </c>
      <c r="P27" s="9">
        <v>96968.759481553207</v>
      </c>
      <c r="Q27" s="9">
        <v>442012.98551330401</v>
      </c>
      <c r="R27" s="9">
        <v>9745047.68516941</v>
      </c>
      <c r="S27" s="9">
        <v>219762.42780006799</v>
      </c>
      <c r="T27" s="9">
        <v>5800706.8044619104</v>
      </c>
      <c r="U27" s="9">
        <v>1281881.93176887</v>
      </c>
      <c r="V27" s="9">
        <v>3315479.04094359</v>
      </c>
      <c r="W27" s="9">
        <v>702167.78516879899</v>
      </c>
      <c r="X27" s="9">
        <v>292753.81169948803</v>
      </c>
      <c r="Y27" s="9">
        <v>85414.610452882203</v>
      </c>
      <c r="Z27" s="9">
        <v>9342424.71236936</v>
      </c>
      <c r="AA27" s="9">
        <v>961282.66925065604</v>
      </c>
      <c r="AB27" s="9">
        <v>1478799.01615094</v>
      </c>
      <c r="AC27" s="9">
        <v>4469213.8386546504</v>
      </c>
      <c r="AD27" s="9">
        <v>3796648.55661848</v>
      </c>
      <c r="AE27" s="9">
        <v>9082394.4752973001</v>
      </c>
    </row>
    <row r="28" spans="1:31" x14ac:dyDescent="0.2">
      <c r="A28" s="3">
        <v>27</v>
      </c>
      <c r="B28" s="4" t="s">
        <v>75</v>
      </c>
      <c r="C28" s="5" t="s">
        <v>125</v>
      </c>
      <c r="D28" s="4" t="s">
        <v>70</v>
      </c>
      <c r="E28" s="4" t="s">
        <v>125</v>
      </c>
      <c r="F28" s="4" t="s">
        <v>7</v>
      </c>
      <c r="G28" s="4" t="s">
        <v>109</v>
      </c>
      <c r="H28" s="6">
        <v>204347.96595020199</v>
      </c>
      <c r="I28" s="6">
        <v>32279.9699615678</v>
      </c>
      <c r="J28" s="6">
        <v>77540.637669099902</v>
      </c>
      <c r="K28" s="6">
        <v>18203157.4461651</v>
      </c>
      <c r="L28" s="6">
        <v>25321.9206319689</v>
      </c>
      <c r="M28" s="6">
        <v>5175941.2809693199</v>
      </c>
      <c r="N28" s="6">
        <v>140.00069225678499</v>
      </c>
      <c r="O28" s="6">
        <v>886.02756541370002</v>
      </c>
      <c r="P28" s="6">
        <v>4488.0387745266598</v>
      </c>
      <c r="Q28" s="6">
        <v>43910.055975496398</v>
      </c>
      <c r="R28" s="6">
        <v>34403.507626479302</v>
      </c>
      <c r="S28" s="6">
        <v>64961.315330118603</v>
      </c>
      <c r="T28" s="6">
        <v>24243.385806508399</v>
      </c>
      <c r="U28" s="6">
        <v>49853.179115537299</v>
      </c>
      <c r="V28" s="6">
        <v>10895.5378332952</v>
      </c>
      <c r="W28" s="6">
        <v>12220.5582533818</v>
      </c>
      <c r="X28" s="6">
        <v>61015.795539819097</v>
      </c>
      <c r="Y28" s="6">
        <v>446.73716693012602</v>
      </c>
      <c r="Z28" s="6">
        <v>27750.5011265754</v>
      </c>
      <c r="AA28" s="6">
        <v>12529.646810296899</v>
      </c>
      <c r="AB28" s="6">
        <v>5612.4476119255696</v>
      </c>
      <c r="AC28" s="6">
        <v>17073.0136442845</v>
      </c>
      <c r="AD28" s="6">
        <v>14564.1247040792</v>
      </c>
      <c r="AE28" s="6">
        <v>38381.867262813103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27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67</v>
      </c>
      <c r="B1" s="1" t="s">
        <v>131</v>
      </c>
      <c r="C1" s="1" t="s">
        <v>99</v>
      </c>
      <c r="D1" s="1" t="s">
        <v>42</v>
      </c>
      <c r="E1" s="1" t="s">
        <v>55</v>
      </c>
      <c r="F1" s="1" t="s">
        <v>77</v>
      </c>
      <c r="G1" s="1" t="s">
        <v>127</v>
      </c>
      <c r="H1" s="1" t="s">
        <v>88</v>
      </c>
      <c r="I1" s="1" t="s">
        <v>30</v>
      </c>
      <c r="J1" s="1" t="s">
        <v>93</v>
      </c>
      <c r="K1" s="1" t="s">
        <v>57</v>
      </c>
      <c r="L1" s="1" t="s">
        <v>0</v>
      </c>
      <c r="M1" s="1" t="s">
        <v>33</v>
      </c>
      <c r="N1" s="2" t="s">
        <v>62</v>
      </c>
      <c r="O1" s="1" t="s">
        <v>153</v>
      </c>
      <c r="P1" s="2" t="s">
        <v>21</v>
      </c>
      <c r="Q1" s="1" t="s">
        <v>114</v>
      </c>
      <c r="R1" s="1" t="s">
        <v>106</v>
      </c>
      <c r="S1" s="1" t="s">
        <v>54</v>
      </c>
      <c r="T1" s="1" t="s">
        <v>10</v>
      </c>
      <c r="U1" s="1" t="s">
        <v>63</v>
      </c>
      <c r="V1" s="1" t="s">
        <v>147</v>
      </c>
      <c r="W1" s="1" t="s">
        <v>154</v>
      </c>
      <c r="X1" s="1" t="s">
        <v>46</v>
      </c>
      <c r="Y1" s="1" t="s">
        <v>132</v>
      </c>
      <c r="Z1" s="1" t="s">
        <v>121</v>
      </c>
      <c r="AA1" s="1" t="s">
        <v>91</v>
      </c>
      <c r="AB1" s="1" t="s">
        <v>38</v>
      </c>
      <c r="AC1" s="1" t="s">
        <v>61</v>
      </c>
      <c r="AD1" s="1" t="s">
        <v>148</v>
      </c>
      <c r="AE1" s="1" t="s">
        <v>137</v>
      </c>
    </row>
    <row r="2" spans="1:31" x14ac:dyDescent="0.2">
      <c r="A2" s="13">
        <v>1</v>
      </c>
      <c r="B2" s="14" t="s">
        <v>14</v>
      </c>
      <c r="C2" s="15" t="s">
        <v>125</v>
      </c>
      <c r="D2" s="14" t="s">
        <v>100</v>
      </c>
      <c r="E2" s="14" t="s">
        <v>125</v>
      </c>
      <c r="F2" s="14" t="s">
        <v>110</v>
      </c>
      <c r="G2" s="14" t="s">
        <v>109</v>
      </c>
      <c r="H2" s="16">
        <v>3.18085378445827E-2</v>
      </c>
      <c r="I2" s="16">
        <v>6.1986789235337902E-2</v>
      </c>
      <c r="J2" s="16">
        <v>3.8054768602685002E-2</v>
      </c>
      <c r="K2" s="16">
        <v>4.3093061294140998E-2</v>
      </c>
      <c r="L2" s="16">
        <v>5.1186648894179197E-2</v>
      </c>
      <c r="M2" s="16">
        <v>4.1757966700915698E-3</v>
      </c>
      <c r="N2" s="16">
        <v>0.101885379379221</v>
      </c>
      <c r="O2" s="16">
        <v>0.114046690965849</v>
      </c>
      <c r="P2" s="16">
        <v>3.65132881221545E-2</v>
      </c>
      <c r="Q2" s="16">
        <v>2.0735827029628898E-2</v>
      </c>
      <c r="R2" s="16">
        <v>6.3600927461363699E-2</v>
      </c>
      <c r="S2" s="16">
        <v>2.2538139592690899E-2</v>
      </c>
      <c r="T2" s="16">
        <v>0.19184576870579401</v>
      </c>
      <c r="U2" s="16">
        <v>0.29561457383900303</v>
      </c>
      <c r="V2" s="16">
        <v>4.0864462383582899E-2</v>
      </c>
      <c r="W2" s="16">
        <v>3.5547998759178599E-2</v>
      </c>
      <c r="X2" s="16">
        <v>2.0706138291289498E-2</v>
      </c>
      <c r="Y2" s="16">
        <v>0.62730193894429898</v>
      </c>
      <c r="Z2" s="16">
        <v>6.3865468638137607E-2</v>
      </c>
      <c r="AA2" s="16">
        <v>7.09392538390856E-2</v>
      </c>
      <c r="AB2" s="16">
        <v>0.45069425848995598</v>
      </c>
      <c r="AC2" s="16">
        <v>0.12786999524184101</v>
      </c>
      <c r="AD2" s="16">
        <v>2.64436058053177E-2</v>
      </c>
      <c r="AE2" s="16">
        <v>4.03604735056321E-2</v>
      </c>
    </row>
    <row r="3" spans="1:31" x14ac:dyDescent="0.2">
      <c r="A3" s="13">
        <v>2</v>
      </c>
      <c r="B3" s="17" t="s">
        <v>14</v>
      </c>
      <c r="C3" s="18" t="s">
        <v>125</v>
      </c>
      <c r="D3" s="17" t="s">
        <v>96</v>
      </c>
      <c r="E3" s="17" t="s">
        <v>125</v>
      </c>
      <c r="F3" s="17" t="s">
        <v>27</v>
      </c>
      <c r="G3" s="17" t="s">
        <v>109</v>
      </c>
      <c r="H3" s="19">
        <v>2.1642885971788799E-2</v>
      </c>
      <c r="I3" s="19">
        <v>0.126532758375449</v>
      </c>
      <c r="J3" s="19">
        <v>5.7892346682679598E-2</v>
      </c>
      <c r="K3" s="19">
        <v>1.49010486057884E-2</v>
      </c>
      <c r="L3" s="19">
        <v>8.9318543570219996E-2</v>
      </c>
      <c r="M3" s="19">
        <v>1.06384240782207E-2</v>
      </c>
      <c r="N3" s="19">
        <v>0.203770771344291</v>
      </c>
      <c r="O3" s="19">
        <v>9.4249132758085899E-2</v>
      </c>
      <c r="P3" s="19">
        <v>2.94442804551623E-2</v>
      </c>
      <c r="Q3" s="19">
        <v>2.9370724250201801E-2</v>
      </c>
      <c r="R3" s="19">
        <v>3.5212082442656598E-2</v>
      </c>
      <c r="S3" s="19">
        <v>9.0171088160676399E-2</v>
      </c>
      <c r="T3" s="19">
        <v>8.9432380454774002E-2</v>
      </c>
      <c r="U3" s="19">
        <v>0.19843194293117</v>
      </c>
      <c r="V3" s="19">
        <v>6.1484993220631098E-2</v>
      </c>
      <c r="W3" s="19">
        <v>4.0482285368087803E-2</v>
      </c>
      <c r="X3" s="19">
        <v>6.1360322502720097E-2</v>
      </c>
      <c r="Y3" s="19">
        <v>0.20688136825032899</v>
      </c>
      <c r="Z3" s="19">
        <v>0.14248759963437399</v>
      </c>
      <c r="AA3" s="19">
        <v>0.146095519696436</v>
      </c>
      <c r="AB3" s="19">
        <v>0.37449769508716702</v>
      </c>
      <c r="AC3" s="19">
        <v>6.4533322769865897E-2</v>
      </c>
      <c r="AD3" s="19">
        <v>1.4555088872396401E-2</v>
      </c>
      <c r="AE3" s="19">
        <v>5.0395641919930803E-2</v>
      </c>
    </row>
    <row r="4" spans="1:31" x14ac:dyDescent="0.2">
      <c r="A4" s="13">
        <v>3</v>
      </c>
      <c r="B4" s="14" t="s">
        <v>14</v>
      </c>
      <c r="C4" s="15" t="s">
        <v>125</v>
      </c>
      <c r="D4" s="14" t="s">
        <v>103</v>
      </c>
      <c r="E4" s="14" t="s">
        <v>125</v>
      </c>
      <c r="F4" s="14" t="s">
        <v>120</v>
      </c>
      <c r="G4" s="14" t="s">
        <v>109</v>
      </c>
      <c r="H4" s="16">
        <v>1.22385266115589E-2</v>
      </c>
      <c r="I4" s="16">
        <v>5.0254900957014598E-2</v>
      </c>
      <c r="J4" s="16">
        <v>0.211647357631708</v>
      </c>
      <c r="K4" s="16">
        <v>4.3502758094266999E-2</v>
      </c>
      <c r="L4" s="16">
        <v>5.6459616453933402E-2</v>
      </c>
      <c r="M4" s="16">
        <v>7.2058284635548404E-3</v>
      </c>
      <c r="N4" s="16">
        <v>0.24118830529104099</v>
      </c>
      <c r="O4" s="16">
        <v>0.12747343965284899</v>
      </c>
      <c r="P4" s="16">
        <v>8.0895163727161892E-3</v>
      </c>
      <c r="Q4" s="16">
        <v>3.20112723958364E-3</v>
      </c>
      <c r="R4" s="16">
        <v>7.07601194809169E-2</v>
      </c>
      <c r="S4" s="16">
        <v>2.1586261791291299E-2</v>
      </c>
      <c r="T4" s="16">
        <v>9.7873149043530505E-2</v>
      </c>
      <c r="U4" s="16">
        <v>4.4128848562885403E-2</v>
      </c>
      <c r="V4" s="16">
        <v>7.0851661241003297E-2</v>
      </c>
      <c r="W4" s="16">
        <v>4.5477511667966597E-2</v>
      </c>
      <c r="X4" s="16">
        <v>1.9788973005759498E-2</v>
      </c>
      <c r="Y4" s="16">
        <v>0.16067381472994699</v>
      </c>
      <c r="Z4" s="16">
        <v>5.77352769512023E-2</v>
      </c>
      <c r="AA4" s="16">
        <v>6.4087327321774606E-2</v>
      </c>
      <c r="AB4" s="16">
        <v>0.50000029166686799</v>
      </c>
      <c r="AC4" s="16">
        <v>8.8499233823923898E-2</v>
      </c>
      <c r="AD4" s="16">
        <v>0.268293415978683</v>
      </c>
      <c r="AE4" s="16">
        <v>0.149332953912791</v>
      </c>
    </row>
    <row r="5" spans="1:31" x14ac:dyDescent="0.2">
      <c r="A5" s="13">
        <v>4</v>
      </c>
      <c r="B5" s="17" t="s">
        <v>14</v>
      </c>
      <c r="C5" s="18" t="s">
        <v>125</v>
      </c>
      <c r="D5" s="17" t="s">
        <v>151</v>
      </c>
      <c r="E5" s="17" t="s">
        <v>125</v>
      </c>
      <c r="F5" s="17" t="s">
        <v>76</v>
      </c>
      <c r="G5" s="17" t="s">
        <v>109</v>
      </c>
      <c r="H5" s="19">
        <v>5.2313514177814498E-2</v>
      </c>
      <c r="I5" s="19">
        <v>1.33204470670042E-2</v>
      </c>
      <c r="J5" s="19">
        <v>4.4688760414702697E-2</v>
      </c>
      <c r="K5" s="19">
        <v>2.51293849612115E-2</v>
      </c>
      <c r="L5" s="19">
        <v>9.09382225077221E-2</v>
      </c>
      <c r="M5" s="19">
        <v>6.9884674549682002E-3</v>
      </c>
      <c r="N5" s="19">
        <v>0.23514544603051801</v>
      </c>
      <c r="O5" s="19">
        <v>5.0502318713443697E-2</v>
      </c>
      <c r="P5" s="19">
        <v>1.6045638435232601E-2</v>
      </c>
      <c r="Q5" s="19">
        <v>2.2090327359920101E-2</v>
      </c>
      <c r="R5" s="19">
        <v>4.8290830760480498E-2</v>
      </c>
      <c r="S5" s="19">
        <v>8.8040474783197306E-2</v>
      </c>
      <c r="T5" s="19">
        <v>4.2938900972825697E-2</v>
      </c>
      <c r="U5" s="19">
        <v>7.99824955130677E-2</v>
      </c>
      <c r="V5" s="19">
        <v>2.4154861025991001E-2</v>
      </c>
      <c r="W5" s="19">
        <v>4.2972879312957998E-2</v>
      </c>
      <c r="X5" s="19">
        <v>5.6819985009758503E-2</v>
      </c>
      <c r="Y5" s="19">
        <v>0.77370913089346804</v>
      </c>
      <c r="Z5" s="19">
        <v>8.5591861833506394E-2</v>
      </c>
      <c r="AA5" s="19">
        <v>1.6678159265852199E-2</v>
      </c>
      <c r="AB5" s="19">
        <v>0.15347315989403201</v>
      </c>
      <c r="AC5" s="19">
        <v>0.10209372939802699</v>
      </c>
      <c r="AD5" s="19">
        <v>0.13573416194464799</v>
      </c>
      <c r="AE5" s="19">
        <v>9.0926586941271995E-2</v>
      </c>
    </row>
    <row r="6" spans="1:31" x14ac:dyDescent="0.2">
      <c r="A6" s="13">
        <v>5</v>
      </c>
      <c r="B6" s="14" t="s">
        <v>37</v>
      </c>
      <c r="C6" s="15" t="s">
        <v>125</v>
      </c>
      <c r="D6" s="14" t="s">
        <v>5</v>
      </c>
      <c r="E6" s="14" t="s">
        <v>125</v>
      </c>
      <c r="F6" s="14" t="s">
        <v>16</v>
      </c>
      <c r="G6" s="14" t="s">
        <v>109</v>
      </c>
      <c r="H6" s="16">
        <v>2.2277373765894101E-2</v>
      </c>
      <c r="I6" s="16">
        <v>3.8476579792318097E-2</v>
      </c>
      <c r="J6" s="16">
        <v>1.42651963533602E-2</v>
      </c>
      <c r="K6" s="16">
        <v>2.4198838958420101E-2</v>
      </c>
      <c r="L6" s="16">
        <v>5.79824123049816E-2</v>
      </c>
      <c r="M6" s="16">
        <v>9.9500455368940807E-3</v>
      </c>
      <c r="N6" s="16">
        <v>8.2707533413008696E-2</v>
      </c>
      <c r="O6" s="16">
        <v>2.46041838386875E-2</v>
      </c>
      <c r="P6" s="16">
        <v>6.7682001465904701E-3</v>
      </c>
      <c r="Q6" s="16">
        <v>1.54254771855265E-2</v>
      </c>
      <c r="R6" s="16">
        <v>6.0451009071885997E-2</v>
      </c>
      <c r="S6" s="16">
        <v>1.51969169893662E-2</v>
      </c>
      <c r="T6" s="16">
        <v>8.0087309489998607E-2</v>
      </c>
      <c r="U6" s="16">
        <v>7.5274831523819599E-2</v>
      </c>
      <c r="V6" s="16">
        <v>5.5474087074082301E-2</v>
      </c>
      <c r="W6" s="16">
        <v>4.7375488188057598E-2</v>
      </c>
      <c r="X6" s="16">
        <v>2.21723558017736E-2</v>
      </c>
      <c r="Y6" s="16">
        <v>0.104294949851076</v>
      </c>
      <c r="Z6" s="16">
        <v>3.7720308978949998E-2</v>
      </c>
      <c r="AA6" s="16">
        <v>2.26220777568958E-2</v>
      </c>
      <c r="AB6" s="16">
        <v>5.2977900615628397E-2</v>
      </c>
      <c r="AC6" s="16">
        <v>2.2737258571414998E-2</v>
      </c>
      <c r="AD6" s="16">
        <v>4.7761448668458703E-2</v>
      </c>
      <c r="AE6" s="16">
        <v>6.9054899329782102E-3</v>
      </c>
    </row>
    <row r="7" spans="1:31" x14ac:dyDescent="0.2">
      <c r="A7" s="13">
        <v>6</v>
      </c>
      <c r="B7" s="17" t="s">
        <v>50</v>
      </c>
      <c r="C7" s="18" t="s">
        <v>125</v>
      </c>
      <c r="D7" s="17" t="s">
        <v>34</v>
      </c>
      <c r="E7" s="17" t="s">
        <v>125</v>
      </c>
      <c r="F7" s="17" t="s">
        <v>142</v>
      </c>
      <c r="G7" s="17" t="s">
        <v>109</v>
      </c>
      <c r="H7" s="19">
        <v>1.55740559841148E-2</v>
      </c>
      <c r="I7" s="19">
        <v>4.08464601318018E-2</v>
      </c>
      <c r="J7" s="19">
        <v>2.2111976727238001E-2</v>
      </c>
      <c r="K7" s="19">
        <v>2.6483538710712799E-2</v>
      </c>
      <c r="L7" s="19">
        <v>5.7847509712611898E-2</v>
      </c>
      <c r="M7" s="19">
        <v>1.67732551808473E-2</v>
      </c>
      <c r="N7" s="19">
        <v>4.6371303142735798E-2</v>
      </c>
      <c r="O7" s="19">
        <v>4.1160578837938E-2</v>
      </c>
      <c r="P7" s="19">
        <v>1.3652871586740001E-2</v>
      </c>
      <c r="Q7" s="19">
        <v>2.87606351007492E-2</v>
      </c>
      <c r="R7" s="19">
        <v>6.0497039882818002E-2</v>
      </c>
      <c r="S7" s="19">
        <v>3.2895852379486198E-3</v>
      </c>
      <c r="T7" s="19">
        <v>9.9020442075423806E-2</v>
      </c>
      <c r="U7" s="19">
        <v>9.7822810050932602E-2</v>
      </c>
      <c r="V7" s="19">
        <v>6.10788638952749E-2</v>
      </c>
      <c r="W7" s="19">
        <v>6.69746921658044E-2</v>
      </c>
      <c r="X7" s="19">
        <v>1.8262150039341601E-2</v>
      </c>
      <c r="Y7" s="19">
        <v>7.7817096170649594E-2</v>
      </c>
      <c r="Z7" s="19">
        <v>5.3357978651582802E-2</v>
      </c>
      <c r="AA7" s="19">
        <v>1.9162375021791501E-2</v>
      </c>
      <c r="AB7" s="19">
        <v>5.7936770986163198E-2</v>
      </c>
      <c r="AC7" s="19">
        <v>1.15789805744203E-2</v>
      </c>
      <c r="AD7" s="19">
        <v>3.2675954173523002E-2</v>
      </c>
      <c r="AE7" s="19">
        <v>1.3238829980905999E-2</v>
      </c>
    </row>
    <row r="8" spans="1:31" x14ac:dyDescent="0.2">
      <c r="A8" s="13">
        <v>7</v>
      </c>
      <c r="B8" s="14" t="s">
        <v>41</v>
      </c>
      <c r="C8" s="15" t="s">
        <v>125</v>
      </c>
      <c r="D8" s="14" t="s">
        <v>60</v>
      </c>
      <c r="E8" s="14" t="s">
        <v>125</v>
      </c>
      <c r="F8" s="14" t="s">
        <v>126</v>
      </c>
      <c r="G8" s="14" t="s">
        <v>109</v>
      </c>
      <c r="H8" s="16">
        <v>1.75329046046632E-2</v>
      </c>
      <c r="I8" s="16">
        <v>4.02148253233807E-2</v>
      </c>
      <c r="J8" s="16">
        <v>2.3400142837386399E-2</v>
      </c>
      <c r="K8" s="16">
        <v>1.3251789664913E-2</v>
      </c>
      <c r="L8" s="16">
        <v>3.59698736571527E-2</v>
      </c>
      <c r="M8" s="16">
        <v>2.87938128462349E-2</v>
      </c>
      <c r="N8" s="16">
        <v>1.41685886689282E-2</v>
      </c>
      <c r="O8" s="16">
        <v>4.0427977868549299E-2</v>
      </c>
      <c r="P8" s="16">
        <v>2.3306383317582901E-2</v>
      </c>
      <c r="Q8" s="16">
        <v>3.3951494993644499E-2</v>
      </c>
      <c r="R8" s="16">
        <v>5.3576060654272797E-2</v>
      </c>
      <c r="S8" s="16">
        <v>7.9500950316126907E-3</v>
      </c>
      <c r="T8" s="16">
        <v>8.7486227479709106E-2</v>
      </c>
      <c r="U8" s="16">
        <v>6.3155560163105307E-2</v>
      </c>
      <c r="V8" s="16">
        <v>5.7359247314032101E-2</v>
      </c>
      <c r="W8" s="16">
        <v>6.2853956948515297E-2</v>
      </c>
      <c r="X8" s="16">
        <v>2.48376117320998E-2</v>
      </c>
      <c r="Y8" s="16">
        <v>7.4827966809801597E-2</v>
      </c>
      <c r="Z8" s="16">
        <v>0.11553182842023101</v>
      </c>
      <c r="AA8" s="16">
        <v>2.7194080792568701E-2</v>
      </c>
      <c r="AB8" s="16">
        <v>4.0243401462109397E-2</v>
      </c>
      <c r="AC8" s="16">
        <v>3.1075807356726302E-2</v>
      </c>
      <c r="AD8" s="16">
        <v>6.2623207795843197E-2</v>
      </c>
      <c r="AE8" s="16">
        <v>1.85132010887268E-2</v>
      </c>
    </row>
    <row r="9" spans="1:31" x14ac:dyDescent="0.2">
      <c r="A9" s="13">
        <v>8</v>
      </c>
      <c r="B9" s="17" t="s">
        <v>98</v>
      </c>
      <c r="C9" s="18" t="s">
        <v>125</v>
      </c>
      <c r="D9" s="17" t="s">
        <v>86</v>
      </c>
      <c r="E9" s="17" t="s">
        <v>125</v>
      </c>
      <c r="F9" s="17" t="s">
        <v>94</v>
      </c>
      <c r="G9" s="17" t="s">
        <v>109</v>
      </c>
      <c r="H9" s="19">
        <v>2.8532860390141399E-2</v>
      </c>
      <c r="I9" s="19">
        <v>3.3529242200268497E-2</v>
      </c>
      <c r="J9" s="19">
        <v>5.9717685358304899E-2</v>
      </c>
      <c r="K9" s="19">
        <v>9.9211618596152396E-3</v>
      </c>
      <c r="L9" s="19">
        <v>5.0937312675378897E-2</v>
      </c>
      <c r="M9" s="19">
        <v>3.9127580314925102E-2</v>
      </c>
      <c r="N9" s="19">
        <v>3.4942425940929799E-2</v>
      </c>
      <c r="O9" s="19">
        <v>3.2055615706696301E-2</v>
      </c>
      <c r="P9" s="19">
        <v>2.6675643532088501E-2</v>
      </c>
      <c r="Q9" s="19">
        <v>4.00911138772359E-2</v>
      </c>
      <c r="R9" s="19">
        <v>6.3949784568011106E-2</v>
      </c>
      <c r="S9" s="19">
        <v>7.2474224133828896E-2</v>
      </c>
      <c r="T9" s="19">
        <v>2.3854729755050898E-2</v>
      </c>
      <c r="U9" s="19">
        <v>9.2033607023996197E-2</v>
      </c>
      <c r="V9" s="19">
        <v>4.9093102352047897E-2</v>
      </c>
      <c r="W9" s="19">
        <v>6.3795229898165606E-2</v>
      </c>
      <c r="X9" s="19">
        <v>6.4712519126435497E-2</v>
      </c>
      <c r="Y9" s="19">
        <v>3.3363245423301997E-2</v>
      </c>
      <c r="Z9" s="19">
        <v>2.69450668388297E-2</v>
      </c>
      <c r="AA9" s="19">
        <v>5.4823589351260901E-2</v>
      </c>
      <c r="AB9" s="19">
        <v>4.8373508399216898E-2</v>
      </c>
      <c r="AC9" s="19">
        <v>2.1292519514452699E-2</v>
      </c>
      <c r="AD9" s="19">
        <v>3.6937980581272303E-2</v>
      </c>
      <c r="AE9" s="19">
        <v>5.4132780258289999E-2</v>
      </c>
    </row>
    <row r="10" spans="1:31" x14ac:dyDescent="0.2">
      <c r="A10" s="13">
        <v>9</v>
      </c>
      <c r="B10" s="14" t="s">
        <v>3</v>
      </c>
      <c r="C10" s="15" t="s">
        <v>125</v>
      </c>
      <c r="D10" s="14" t="s">
        <v>35</v>
      </c>
      <c r="E10" s="14" t="s">
        <v>125</v>
      </c>
      <c r="F10" s="14" t="s">
        <v>71</v>
      </c>
      <c r="G10" s="14" t="s">
        <v>109</v>
      </c>
      <c r="H10" s="16">
        <v>1.45824468026371E-2</v>
      </c>
      <c r="I10" s="16">
        <v>4.2421703804390198E-2</v>
      </c>
      <c r="J10" s="16">
        <v>2.6618787900726599E-2</v>
      </c>
      <c r="K10" s="16">
        <v>2.2797783246925201E-2</v>
      </c>
      <c r="L10" s="16">
        <v>5.7452908168006897E-2</v>
      </c>
      <c r="M10" s="16">
        <v>3.1251371008225802E-2</v>
      </c>
      <c r="N10" s="16">
        <v>2.4382284727626002E-2</v>
      </c>
      <c r="O10" s="16">
        <v>5.1640480310829899E-2</v>
      </c>
      <c r="P10" s="16">
        <v>1.16795399392486E-2</v>
      </c>
      <c r="Q10" s="16">
        <v>5.34525400644634E-2</v>
      </c>
      <c r="R10" s="16">
        <v>7.2963441448633398E-2</v>
      </c>
      <c r="S10" s="16">
        <v>2.7494767031408299E-2</v>
      </c>
      <c r="T10" s="16">
        <v>6.6190616403156502E-2</v>
      </c>
      <c r="U10" s="16">
        <v>8.6730958381561599E-2</v>
      </c>
      <c r="V10" s="16">
        <v>4.8609605656473598E-2</v>
      </c>
      <c r="W10" s="16">
        <v>7.2494689101298998E-2</v>
      </c>
      <c r="X10" s="16">
        <v>1.4810486478347699E-2</v>
      </c>
      <c r="Y10" s="16">
        <v>5.77284685403169E-2</v>
      </c>
      <c r="Z10" s="16">
        <v>3.34013200404146E-2</v>
      </c>
      <c r="AA10" s="16">
        <v>3.2020148157747903E-2</v>
      </c>
      <c r="AB10" s="16">
        <v>4.9978621089138003E-2</v>
      </c>
      <c r="AC10" s="16">
        <v>9.5449850195567596E-3</v>
      </c>
      <c r="AD10" s="16">
        <v>3.87524087815534E-2</v>
      </c>
      <c r="AE10" s="16">
        <v>1.94992465222181E-2</v>
      </c>
    </row>
    <row r="11" spans="1:31" x14ac:dyDescent="0.2">
      <c r="A11" s="13">
        <v>10</v>
      </c>
      <c r="B11" s="17" t="s">
        <v>84</v>
      </c>
      <c r="C11" s="18" t="s">
        <v>125</v>
      </c>
      <c r="D11" s="17" t="s">
        <v>155</v>
      </c>
      <c r="E11" s="17" t="s">
        <v>125</v>
      </c>
      <c r="F11" s="17" t="s">
        <v>145</v>
      </c>
      <c r="G11" s="17" t="s">
        <v>109</v>
      </c>
      <c r="H11" s="19">
        <v>1.1927592802258901E-2</v>
      </c>
      <c r="I11" s="19">
        <v>2.4302925092801402E-2</v>
      </c>
      <c r="J11" s="19">
        <v>2.4377017523032701E-2</v>
      </c>
      <c r="K11" s="19">
        <v>3.8908709511837301E-2</v>
      </c>
      <c r="L11" s="19">
        <v>5.6299919483566503E-2</v>
      </c>
      <c r="M11" s="19">
        <v>2.2105292134893002E-2</v>
      </c>
      <c r="N11" s="19">
        <v>1.0007290798233001E-2</v>
      </c>
      <c r="O11" s="19">
        <v>4.3997084328031198E-2</v>
      </c>
      <c r="P11" s="19">
        <v>1.6186037901809398E-2</v>
      </c>
      <c r="Q11" s="19">
        <v>5.52997318119611E-2</v>
      </c>
      <c r="R11" s="19">
        <v>5.6797342905811801E-2</v>
      </c>
      <c r="S11" s="19">
        <v>1.91216511548097E-2</v>
      </c>
      <c r="T11" s="19">
        <v>6.9744721771763898E-2</v>
      </c>
      <c r="U11" s="19">
        <v>7.39695344434112E-2</v>
      </c>
      <c r="V11" s="19">
        <v>4.4012917608577298E-2</v>
      </c>
      <c r="W11" s="19">
        <v>6.6218871358330197E-2</v>
      </c>
      <c r="X11" s="19">
        <v>2.1674956880445202E-2</v>
      </c>
      <c r="Y11" s="19">
        <v>6.6392916193254103E-2</v>
      </c>
      <c r="Z11" s="19">
        <v>3.1075295815605301E-2</v>
      </c>
      <c r="AA11" s="19">
        <v>1.0951931447967E-2</v>
      </c>
      <c r="AB11" s="19">
        <v>4.0613044381529601E-2</v>
      </c>
      <c r="AC11" s="19">
        <v>1.38377298643221E-2</v>
      </c>
      <c r="AD11" s="19">
        <v>3.7173854292917002E-2</v>
      </c>
      <c r="AE11" s="19">
        <v>9.3590040225443108E-3</v>
      </c>
    </row>
    <row r="12" spans="1:31" x14ac:dyDescent="0.2">
      <c r="A12" s="13">
        <v>12</v>
      </c>
      <c r="B12" s="17" t="s">
        <v>52</v>
      </c>
      <c r="C12" s="18" t="s">
        <v>125</v>
      </c>
      <c r="D12" s="17" t="s">
        <v>53</v>
      </c>
      <c r="E12" s="17" t="s">
        <v>125</v>
      </c>
      <c r="F12" s="17" t="s">
        <v>129</v>
      </c>
      <c r="G12" s="17" t="s">
        <v>109</v>
      </c>
      <c r="H12" s="19">
        <v>7.1559605563803197E-2</v>
      </c>
      <c r="I12" s="19">
        <v>0.14569875064215199</v>
      </c>
      <c r="J12" s="19">
        <v>0.130188664782141</v>
      </c>
      <c r="K12" s="19">
        <v>2.5664178213293601E-2</v>
      </c>
      <c r="L12" s="19">
        <v>8.3327073281600494E-2</v>
      </c>
      <c r="M12" s="19">
        <v>3.8570312697293802E-2</v>
      </c>
      <c r="N12" s="19">
        <v>0.13385755376640401</v>
      </c>
      <c r="O12" s="19">
        <v>2.53433527390797E-2</v>
      </c>
      <c r="P12" s="19">
        <v>0.104478466360133</v>
      </c>
      <c r="Q12" s="19">
        <v>2.8663501288055501E-2</v>
      </c>
      <c r="R12" s="19">
        <v>0.138068548147743</v>
      </c>
      <c r="S12" s="19">
        <v>7.9905859155905798E-2</v>
      </c>
      <c r="T12" s="19">
        <v>2.52137701991989E-2</v>
      </c>
      <c r="U12" s="19">
        <v>5.4425959349981901E-2</v>
      </c>
      <c r="V12" s="19">
        <v>6.7278670759136294E-2</v>
      </c>
      <c r="W12" s="19">
        <v>8.22739041268407E-2</v>
      </c>
      <c r="X12" s="19">
        <v>6.2423018322552898E-2</v>
      </c>
      <c r="Y12" s="19">
        <v>1.5206447155363401E-2</v>
      </c>
      <c r="Z12" s="19">
        <v>8.2854770978770295E-2</v>
      </c>
      <c r="AA12" s="19">
        <v>0.108511445295408</v>
      </c>
      <c r="AB12" s="19">
        <v>8.3085171862571097E-2</v>
      </c>
      <c r="AC12" s="19">
        <v>9.5896557200386104E-2</v>
      </c>
      <c r="AD12" s="19">
        <v>0.10267423172727801</v>
      </c>
      <c r="AE12" s="19">
        <v>9.1745462761755506E-2</v>
      </c>
    </row>
    <row r="13" spans="1:31" x14ac:dyDescent="0.2">
      <c r="A13" s="13">
        <v>13</v>
      </c>
      <c r="B13" s="14" t="s">
        <v>78</v>
      </c>
      <c r="C13" s="15" t="s">
        <v>125</v>
      </c>
      <c r="D13" s="14" t="s">
        <v>6</v>
      </c>
      <c r="E13" s="14" t="s">
        <v>125</v>
      </c>
      <c r="F13" s="14" t="s">
        <v>4</v>
      </c>
      <c r="G13" s="14" t="s">
        <v>109</v>
      </c>
      <c r="H13" s="16">
        <v>2.60009177662009E-2</v>
      </c>
      <c r="I13" s="16">
        <v>8.5103140261162294E-2</v>
      </c>
      <c r="J13" s="16">
        <v>1.11520455299729E-2</v>
      </c>
      <c r="K13" s="16">
        <v>2.5308439061837901E-2</v>
      </c>
      <c r="L13" s="16">
        <v>7.9097427441329901E-2</v>
      </c>
      <c r="M13" s="16">
        <v>1.3139926231916701E-2</v>
      </c>
      <c r="N13" s="16">
        <v>0.25850615964727203</v>
      </c>
      <c r="O13" s="16">
        <v>2.9928963222438699E-2</v>
      </c>
      <c r="P13" s="16">
        <v>5.2274834821137497E-2</v>
      </c>
      <c r="Q13" s="16">
        <v>2.3618269529721E-2</v>
      </c>
      <c r="R13" s="16">
        <v>4.7561028706203899E-2</v>
      </c>
      <c r="S13" s="16">
        <v>5.9678043813389703E-2</v>
      </c>
      <c r="T13" s="16">
        <v>6.2403960081282003E-2</v>
      </c>
      <c r="U13" s="16">
        <v>3.1983022227540403E-2</v>
      </c>
      <c r="V13" s="16">
        <v>3.0670668099949502E-2</v>
      </c>
      <c r="W13" s="16">
        <v>7.4188648418662406E-2</v>
      </c>
      <c r="X13" s="16">
        <v>4.8574684486703899E-2</v>
      </c>
      <c r="Y13" s="16">
        <v>3.4012049955624298E-2</v>
      </c>
      <c r="Z13" s="16">
        <v>0.103776230677378</v>
      </c>
      <c r="AA13" s="16">
        <v>6.0612706297700901E-2</v>
      </c>
      <c r="AB13" s="16">
        <v>6.5483814946899893E-2</v>
      </c>
      <c r="AC13" s="16">
        <v>7.8349443369774799E-2</v>
      </c>
      <c r="AD13" s="16">
        <v>0.113383092897732</v>
      </c>
      <c r="AE13" s="16">
        <v>9.6628782111647493E-2</v>
      </c>
    </row>
    <row r="14" spans="1:31" x14ac:dyDescent="0.2">
      <c r="A14" s="13">
        <v>14</v>
      </c>
      <c r="B14" s="17" t="s">
        <v>72</v>
      </c>
      <c r="C14" s="18" t="s">
        <v>125</v>
      </c>
      <c r="D14" s="17" t="s">
        <v>107</v>
      </c>
      <c r="E14" s="17" t="s">
        <v>125</v>
      </c>
      <c r="F14" s="17" t="s">
        <v>31</v>
      </c>
      <c r="G14" s="17" t="s">
        <v>109</v>
      </c>
      <c r="H14" s="19">
        <v>1.14152625535568E-2</v>
      </c>
      <c r="I14" s="19">
        <v>3.5725294515945499E-2</v>
      </c>
      <c r="J14" s="19">
        <v>4.3618985169764098E-2</v>
      </c>
      <c r="K14" s="19">
        <v>1.60089408954232E-2</v>
      </c>
      <c r="L14" s="19">
        <v>4.7236359825752201E-2</v>
      </c>
      <c r="M14" s="19">
        <v>1.01204767075009E-2</v>
      </c>
      <c r="N14" s="19">
        <v>1.9242373688291601E-2</v>
      </c>
      <c r="O14" s="19">
        <v>4.3853420796462698E-2</v>
      </c>
      <c r="P14" s="19">
        <v>2.8817184511210799E-3</v>
      </c>
      <c r="Q14" s="19">
        <v>4.5554025968065001E-2</v>
      </c>
      <c r="R14" s="19">
        <v>8.1120149897909902E-2</v>
      </c>
      <c r="S14" s="19">
        <v>5.5171840471129399E-2</v>
      </c>
      <c r="T14" s="19">
        <v>5.79678137958499E-2</v>
      </c>
      <c r="U14" s="19">
        <v>7.0411889819237003E-2</v>
      </c>
      <c r="V14" s="19">
        <v>3.2955659402108803E-2</v>
      </c>
      <c r="W14" s="19">
        <v>0.10161617007786999</v>
      </c>
      <c r="X14" s="19">
        <v>3.79723227143276E-2</v>
      </c>
      <c r="Y14" s="19">
        <v>5.2045909641153201E-2</v>
      </c>
      <c r="Z14" s="19">
        <v>2.94946844247885E-2</v>
      </c>
      <c r="AA14" s="19">
        <v>3.5728428075742398E-2</v>
      </c>
      <c r="AB14" s="19">
        <v>4.42073505167669E-2</v>
      </c>
      <c r="AC14" s="19">
        <v>5.7282816346425304E-3</v>
      </c>
      <c r="AD14" s="19">
        <v>5.6157265971857898E-2</v>
      </c>
      <c r="AE14" s="19">
        <v>4.2089260335189803E-2</v>
      </c>
    </row>
    <row r="15" spans="1:31" x14ac:dyDescent="0.2">
      <c r="A15" s="13">
        <v>15</v>
      </c>
      <c r="B15" s="14" t="s">
        <v>11</v>
      </c>
      <c r="C15" s="15" t="s">
        <v>125</v>
      </c>
      <c r="D15" s="14" t="s">
        <v>59</v>
      </c>
      <c r="E15" s="14" t="s">
        <v>125</v>
      </c>
      <c r="F15" s="14" t="s">
        <v>104</v>
      </c>
      <c r="G15" s="14" t="s">
        <v>109</v>
      </c>
      <c r="H15" s="16">
        <v>3.81971968199551E-2</v>
      </c>
      <c r="I15" s="16">
        <v>4.7002372106416702E-2</v>
      </c>
      <c r="J15" s="16">
        <v>7.42007519911775E-3</v>
      </c>
      <c r="K15" s="16">
        <v>2.5471043491455899E-2</v>
      </c>
      <c r="L15" s="16">
        <v>6.7188006954929505E-2</v>
      </c>
      <c r="M15" s="16">
        <v>6.53917178194241E-3</v>
      </c>
      <c r="N15" s="16">
        <v>0.17067153216182801</v>
      </c>
      <c r="O15" s="16">
        <v>5.76083634057847E-2</v>
      </c>
      <c r="P15" s="16">
        <v>2.4422470477410401E-2</v>
      </c>
      <c r="Q15" s="16">
        <v>1.32172353356667E-2</v>
      </c>
      <c r="R15" s="16">
        <v>3.8711921306376199E-2</v>
      </c>
      <c r="S15" s="16">
        <v>2.65582306461178E-2</v>
      </c>
      <c r="T15" s="16">
        <v>0.104060889846914</v>
      </c>
      <c r="U15" s="16">
        <v>0.11433700607848001</v>
      </c>
      <c r="V15" s="16">
        <v>4.9122568638434401E-2</v>
      </c>
      <c r="W15" s="16">
        <v>4.6114050901191701E-2</v>
      </c>
      <c r="X15" s="16">
        <v>1.5400729784114499E-2</v>
      </c>
      <c r="Y15" s="16">
        <v>0.14313792070152601</v>
      </c>
      <c r="Z15" s="16">
        <v>9.68555433149061E-3</v>
      </c>
      <c r="AA15" s="16">
        <v>1.3706798583615201E-2</v>
      </c>
      <c r="AB15" s="16">
        <v>7.0130974416452496E-2</v>
      </c>
      <c r="AC15" s="16">
        <v>6.7641354397707895E-2</v>
      </c>
      <c r="AD15" s="16">
        <v>7.1400223593688E-2</v>
      </c>
      <c r="AE15" s="16">
        <v>0.104759078301741</v>
      </c>
    </row>
    <row r="16" spans="1:31" x14ac:dyDescent="0.2">
      <c r="A16" s="13">
        <v>16</v>
      </c>
      <c r="B16" s="17" t="s">
        <v>49</v>
      </c>
      <c r="C16" s="18" t="s">
        <v>125</v>
      </c>
      <c r="D16" s="17" t="s">
        <v>143</v>
      </c>
      <c r="E16" s="17" t="s">
        <v>125</v>
      </c>
      <c r="F16" s="17" t="s">
        <v>48</v>
      </c>
      <c r="G16" s="17" t="s">
        <v>109</v>
      </c>
      <c r="H16" s="19">
        <v>4.8047103110734901E-2</v>
      </c>
      <c r="I16" s="19">
        <v>4.54409953680859E-2</v>
      </c>
      <c r="J16" s="19">
        <v>4.6843229879188597E-2</v>
      </c>
      <c r="K16" s="19">
        <v>2.8729909919090801E-2</v>
      </c>
      <c r="L16" s="19">
        <v>1.42800605065754E-2</v>
      </c>
      <c r="M16" s="19">
        <v>1.68603966539452E-2</v>
      </c>
      <c r="N16" s="19">
        <v>4.4942444565002097E-3</v>
      </c>
      <c r="O16" s="19">
        <v>4.7151664140366999E-2</v>
      </c>
      <c r="P16" s="19">
        <v>1.77017054675895E-2</v>
      </c>
      <c r="Q16" s="19">
        <v>1.4806960307468101E-2</v>
      </c>
      <c r="R16" s="19">
        <v>5.4034755455633202E-2</v>
      </c>
      <c r="S16" s="19">
        <v>8.1550016579815796E-2</v>
      </c>
      <c r="T16" s="19">
        <v>1.42190959620634E-2</v>
      </c>
      <c r="U16" s="19">
        <v>2.6082331043699E-2</v>
      </c>
      <c r="V16" s="19">
        <v>6.4508545699305697E-2</v>
      </c>
      <c r="W16" s="19">
        <v>4.4438055871879802E-2</v>
      </c>
      <c r="X16" s="19">
        <v>4.3421064921309302E-2</v>
      </c>
      <c r="Y16" s="19">
        <v>6.0848025237655097E-2</v>
      </c>
      <c r="Z16" s="19">
        <v>0.155990510543418</v>
      </c>
      <c r="AA16" s="19">
        <v>8.7982964744228606E-2</v>
      </c>
      <c r="AB16" s="19">
        <v>0.178828216186531</v>
      </c>
      <c r="AC16" s="19">
        <v>7.78508698985102E-2</v>
      </c>
      <c r="AD16" s="19">
        <v>6.0076709431625797E-2</v>
      </c>
      <c r="AE16" s="19">
        <v>0.114319731229461</v>
      </c>
    </row>
    <row r="17" spans="1:31" x14ac:dyDescent="0.2">
      <c r="A17" s="13">
        <v>17</v>
      </c>
      <c r="B17" s="14" t="s">
        <v>78</v>
      </c>
      <c r="C17" s="15" t="s">
        <v>125</v>
      </c>
      <c r="D17" s="14" t="s">
        <v>23</v>
      </c>
      <c r="E17" s="14" t="s">
        <v>125</v>
      </c>
      <c r="F17" s="14" t="s">
        <v>29</v>
      </c>
      <c r="G17" s="14" t="s">
        <v>109</v>
      </c>
      <c r="H17" s="16">
        <v>2.8850284505260702E-2</v>
      </c>
      <c r="I17" s="16">
        <v>5.0138333787248503E-2</v>
      </c>
      <c r="J17" s="16">
        <v>1.5822689089220202E-2</v>
      </c>
      <c r="K17" s="16">
        <v>3.7972720271197601E-2</v>
      </c>
      <c r="L17" s="16">
        <v>5.0429809662711003E-2</v>
      </c>
      <c r="M17" s="16">
        <v>4.6454902922735703E-3</v>
      </c>
      <c r="N17" s="16">
        <v>0.23252760672324299</v>
      </c>
      <c r="O17" s="16">
        <v>4.5143741343138297E-2</v>
      </c>
      <c r="P17" s="16">
        <v>2.0220986476152101E-3</v>
      </c>
      <c r="Q17" s="16">
        <v>1.272634820505E-2</v>
      </c>
      <c r="R17" s="16">
        <v>5.0033751466938899E-2</v>
      </c>
      <c r="S17" s="16">
        <v>3.1800310135288501E-2</v>
      </c>
      <c r="T17" s="16">
        <v>8.1251362686078604E-2</v>
      </c>
      <c r="U17" s="16">
        <v>5.3020218056301797E-2</v>
      </c>
      <c r="V17" s="16">
        <v>0.10312837986623399</v>
      </c>
      <c r="W17" s="16">
        <v>3.5412767502551103E-2</v>
      </c>
      <c r="X17" s="16">
        <v>2.1130061905198901E-2</v>
      </c>
      <c r="Y17" s="16">
        <v>0.32199273698324099</v>
      </c>
      <c r="Z17" s="16">
        <v>5.0002682003533097E-2</v>
      </c>
      <c r="AA17" s="16">
        <v>3.3249379005007303E-2</v>
      </c>
      <c r="AB17" s="16">
        <v>0.107990197519615</v>
      </c>
      <c r="AC17" s="16">
        <v>5.0542468601747402E-2</v>
      </c>
      <c r="AD17" s="16">
        <v>5.1887357270206699E-2</v>
      </c>
      <c r="AE17" s="16">
        <v>8.0254675884507201E-2</v>
      </c>
    </row>
    <row r="18" spans="1:31" x14ac:dyDescent="0.2">
      <c r="A18" s="13">
        <v>18</v>
      </c>
      <c r="B18" s="17" t="s">
        <v>22</v>
      </c>
      <c r="C18" s="18" t="s">
        <v>125</v>
      </c>
      <c r="D18" s="17" t="s">
        <v>66</v>
      </c>
      <c r="E18" s="17" t="s">
        <v>125</v>
      </c>
      <c r="F18" s="17" t="s">
        <v>68</v>
      </c>
      <c r="G18" s="17" t="s">
        <v>109</v>
      </c>
      <c r="H18" s="19">
        <v>2.3315322792772E-2</v>
      </c>
      <c r="I18" s="19">
        <v>5.8106168890770298E-2</v>
      </c>
      <c r="J18" s="19">
        <v>3.6150856399634203E-2</v>
      </c>
      <c r="K18" s="19">
        <v>2.8547810345070299E-2</v>
      </c>
      <c r="L18" s="19">
        <v>6.9741093495645404E-2</v>
      </c>
      <c r="M18" s="19">
        <v>5.0755737545574199E-3</v>
      </c>
      <c r="N18" s="19">
        <v>1.8518658487555899E-2</v>
      </c>
      <c r="O18" s="19">
        <v>2.7204799430203201E-2</v>
      </c>
      <c r="P18" s="19">
        <v>2.9350644041816601E-2</v>
      </c>
      <c r="Q18" s="19">
        <v>1.4666470482375901E-2</v>
      </c>
      <c r="R18" s="19">
        <v>7.2034118774857506E-2</v>
      </c>
      <c r="S18" s="19">
        <v>2.39586333072257E-2</v>
      </c>
      <c r="T18" s="19">
        <v>6.3537669836440297E-2</v>
      </c>
      <c r="U18" s="19">
        <v>8.6622286265183798E-2</v>
      </c>
      <c r="V18" s="19">
        <v>4.1190947610760101E-2</v>
      </c>
      <c r="W18" s="19">
        <v>5.7478741820338602E-2</v>
      </c>
      <c r="X18" s="19">
        <v>1.9207949415952701E-2</v>
      </c>
      <c r="Y18" s="19">
        <v>6.0134167981346798E-2</v>
      </c>
      <c r="Z18" s="19">
        <v>3.7423782708805503E-2</v>
      </c>
      <c r="AA18" s="19">
        <v>3.4516643706129599E-2</v>
      </c>
      <c r="AB18" s="19">
        <v>4.72145681404426E-2</v>
      </c>
      <c r="AC18" s="19">
        <v>2.2276362397064299E-2</v>
      </c>
      <c r="AD18" s="19">
        <v>5.0503898625564703E-2</v>
      </c>
      <c r="AE18" s="19">
        <v>2.5105292034654399E-2</v>
      </c>
    </row>
    <row r="19" spans="1:31" x14ac:dyDescent="0.2">
      <c r="A19" s="13">
        <v>19</v>
      </c>
      <c r="B19" s="14" t="s">
        <v>51</v>
      </c>
      <c r="C19" s="15" t="s">
        <v>125</v>
      </c>
      <c r="D19" s="14" t="s">
        <v>115</v>
      </c>
      <c r="E19" s="14" t="s">
        <v>125</v>
      </c>
      <c r="F19" s="14" t="s">
        <v>56</v>
      </c>
      <c r="G19" s="14" t="s">
        <v>109</v>
      </c>
      <c r="H19" s="16">
        <v>2.8351399522968401E-2</v>
      </c>
      <c r="I19" s="16">
        <v>3.2455834931778199E-2</v>
      </c>
      <c r="J19" s="16">
        <v>4.4025372238076399E-2</v>
      </c>
      <c r="K19" s="16">
        <v>7.35877617485735E-3</v>
      </c>
      <c r="L19" s="16">
        <v>5.6320468898879997E-2</v>
      </c>
      <c r="M19" s="16">
        <v>3.01544828043258E-2</v>
      </c>
      <c r="N19" s="16">
        <v>2.0094177093822801E-2</v>
      </c>
      <c r="O19" s="16">
        <v>4.12056500159316E-2</v>
      </c>
      <c r="P19" s="16">
        <v>1.6517373442068099E-2</v>
      </c>
      <c r="Q19" s="16">
        <v>6.2119745338006398E-2</v>
      </c>
      <c r="R19" s="16">
        <v>7.6875917019857298E-2</v>
      </c>
      <c r="S19" s="16">
        <v>4.9844180107331597E-2</v>
      </c>
      <c r="T19" s="16">
        <v>2.5612577511021299E-2</v>
      </c>
      <c r="U19" s="16">
        <v>9.3583584075094706E-2</v>
      </c>
      <c r="V19" s="16">
        <v>4.9854651964365199E-2</v>
      </c>
      <c r="W19" s="16">
        <v>7.7821168960659298E-2</v>
      </c>
      <c r="X19" s="16">
        <v>2.7809739784748998E-2</v>
      </c>
      <c r="Y19" s="16">
        <v>4.1409713838329497E-2</v>
      </c>
      <c r="Z19" s="16">
        <v>2.37635703824563E-2</v>
      </c>
      <c r="AA19" s="16">
        <v>4.4325458763553101E-2</v>
      </c>
      <c r="AB19" s="16">
        <v>5.1335934074427297E-2</v>
      </c>
      <c r="AC19" s="16">
        <v>2.4890013726158101E-2</v>
      </c>
      <c r="AD19" s="16">
        <v>3.4399610968370999E-2</v>
      </c>
      <c r="AE19" s="16">
        <v>3.7611301069710501E-2</v>
      </c>
    </row>
    <row r="20" spans="1:31" x14ac:dyDescent="0.2">
      <c r="A20" s="13">
        <v>20</v>
      </c>
      <c r="B20" s="17" t="s">
        <v>138</v>
      </c>
      <c r="C20" s="18" t="s">
        <v>125</v>
      </c>
      <c r="D20" s="17" t="s">
        <v>150</v>
      </c>
      <c r="E20" s="17" t="s">
        <v>125</v>
      </c>
      <c r="F20" s="17" t="s">
        <v>85</v>
      </c>
      <c r="G20" s="17" t="s">
        <v>109</v>
      </c>
      <c r="H20" s="19">
        <v>4.9224280452148099E-2</v>
      </c>
      <c r="I20" s="19">
        <v>4.7135361463484599E-2</v>
      </c>
      <c r="J20" s="19">
        <v>2.1105399980865702E-2</v>
      </c>
      <c r="K20" s="19">
        <v>2.75283120585645E-2</v>
      </c>
      <c r="L20" s="19">
        <v>8.28448050369693E-3</v>
      </c>
      <c r="M20" s="19">
        <v>1.88450354982574E-2</v>
      </c>
      <c r="N20" s="19">
        <v>0.10380003969823801</v>
      </c>
      <c r="O20" s="19">
        <v>4.6812690175874597E-2</v>
      </c>
      <c r="P20" s="19">
        <v>4.6368516200497902E-2</v>
      </c>
      <c r="Q20" s="19">
        <v>1.5089108975751799E-2</v>
      </c>
      <c r="R20" s="19">
        <v>6.7948816194067799E-2</v>
      </c>
      <c r="S20" s="19">
        <v>6.4104140799277107E-2</v>
      </c>
      <c r="T20" s="19">
        <v>6.0486601863988E-3</v>
      </c>
      <c r="U20" s="19">
        <v>1.06526155584911E-2</v>
      </c>
      <c r="V20" s="19">
        <v>0.13369729089308199</v>
      </c>
      <c r="W20" s="19">
        <v>5.7194894546323503E-2</v>
      </c>
      <c r="X20" s="19">
        <v>4.7263992424110203E-2</v>
      </c>
      <c r="Y20" s="19">
        <v>1.9523812713044399E-2</v>
      </c>
      <c r="Z20" s="19">
        <v>0.14503416995458099</v>
      </c>
      <c r="AA20" s="19">
        <v>4.7507239778672397E-2</v>
      </c>
      <c r="AB20" s="19">
        <v>0.18613436351798501</v>
      </c>
      <c r="AC20" s="19">
        <v>0.150798276965628</v>
      </c>
      <c r="AD20" s="19">
        <v>0.109921031495868</v>
      </c>
      <c r="AE20" s="19">
        <v>5.9956646758281003E-2</v>
      </c>
    </row>
    <row r="21" spans="1:31" x14ac:dyDescent="0.2">
      <c r="A21" s="13">
        <v>21</v>
      </c>
      <c r="B21" s="14" t="s">
        <v>112</v>
      </c>
      <c r="C21" s="15" t="s">
        <v>125</v>
      </c>
      <c r="D21" s="14" t="s">
        <v>101</v>
      </c>
      <c r="E21" s="14" t="s">
        <v>125</v>
      </c>
      <c r="F21" s="14" t="s">
        <v>152</v>
      </c>
      <c r="G21" s="14" t="s">
        <v>109</v>
      </c>
      <c r="H21" s="16">
        <v>4.2607626230097298E-2</v>
      </c>
      <c r="I21" s="16">
        <v>9.1544555860303606E-2</v>
      </c>
      <c r="J21" s="16">
        <v>4.4446618979694097E-2</v>
      </c>
      <c r="K21" s="16">
        <v>2.7005401911264298E-2</v>
      </c>
      <c r="L21" s="16">
        <v>4.3037801466056499E-2</v>
      </c>
      <c r="M21" s="16">
        <v>5.7144993353386998E-2</v>
      </c>
      <c r="N21" s="16">
        <v>6.6249305781230002E-3</v>
      </c>
      <c r="O21" s="16">
        <v>6.2579906965091497E-2</v>
      </c>
      <c r="P21" s="16">
        <v>2.3326194214620599E-3</v>
      </c>
      <c r="Q21" s="16">
        <v>1.2925812198039101E-2</v>
      </c>
      <c r="R21" s="16">
        <v>1.7691646182269798E-2</v>
      </c>
      <c r="S21" s="16">
        <v>0.103060832540287</v>
      </c>
      <c r="T21" s="16">
        <v>0.124024332673974</v>
      </c>
      <c r="U21" s="16">
        <v>3.1793413614112601E-2</v>
      </c>
      <c r="V21" s="16">
        <v>5.8424950852364703E-2</v>
      </c>
      <c r="W21" s="16">
        <v>2.4582224691303899E-2</v>
      </c>
      <c r="X21" s="16">
        <v>8.3194518651448904E-2</v>
      </c>
      <c r="Y21" s="16">
        <v>7.6059791746075994E-2</v>
      </c>
      <c r="Z21" s="16">
        <v>5.8602124877372201E-2</v>
      </c>
      <c r="AA21" s="16">
        <v>5.8159617221484702E-2</v>
      </c>
      <c r="AB21" s="16">
        <v>3.72573464934726E-2</v>
      </c>
      <c r="AC21" s="16">
        <v>5.3298190330838997E-2</v>
      </c>
      <c r="AD21" s="16">
        <v>4.5307461456470598E-2</v>
      </c>
      <c r="AE21" s="16">
        <v>6.0845492277000701E-2</v>
      </c>
    </row>
    <row r="22" spans="1:31" x14ac:dyDescent="0.2">
      <c r="A22" s="13">
        <v>22</v>
      </c>
      <c r="B22" s="17" t="s">
        <v>95</v>
      </c>
      <c r="C22" s="18" t="s">
        <v>125</v>
      </c>
      <c r="D22" s="17" t="s">
        <v>92</v>
      </c>
      <c r="E22" s="17" t="s">
        <v>125</v>
      </c>
      <c r="F22" s="17" t="s">
        <v>124</v>
      </c>
      <c r="G22" s="17" t="s">
        <v>109</v>
      </c>
      <c r="H22" s="19">
        <v>3.6753858609613603E-2</v>
      </c>
      <c r="I22" s="19">
        <v>2.0689284652480398E-2</v>
      </c>
      <c r="J22" s="19">
        <v>6.2411383188310902E-2</v>
      </c>
      <c r="K22" s="19">
        <v>3.0256342976800999E-3</v>
      </c>
      <c r="L22" s="19">
        <v>2.81413106789981E-2</v>
      </c>
      <c r="M22" s="19">
        <v>2.0456454497829901E-2</v>
      </c>
      <c r="N22" s="19">
        <v>2.58311165071347E-2</v>
      </c>
      <c r="O22" s="19">
        <v>5.7130412081965398E-2</v>
      </c>
      <c r="P22" s="19">
        <v>2.3488884043406901E-2</v>
      </c>
      <c r="Q22" s="19">
        <v>1.5669810353988699E-2</v>
      </c>
      <c r="R22" s="19">
        <v>0.100568275674668</v>
      </c>
      <c r="S22" s="19">
        <v>7.6981111268402E-2</v>
      </c>
      <c r="T22" s="19">
        <v>7.8657623145709593E-2</v>
      </c>
      <c r="U22" s="19">
        <v>6.3162371096232198E-2</v>
      </c>
      <c r="V22" s="19">
        <v>4.6553211798017101E-2</v>
      </c>
      <c r="W22" s="19">
        <v>2.6995276999564902E-2</v>
      </c>
      <c r="X22" s="19">
        <v>8.1595541724812398E-2</v>
      </c>
      <c r="Y22" s="19">
        <v>0.33020325621992602</v>
      </c>
      <c r="Z22" s="19">
        <v>6.8477977411804197E-2</v>
      </c>
      <c r="AA22" s="19">
        <v>9.9147141351474399E-2</v>
      </c>
      <c r="AB22" s="19">
        <v>0.23772752142574599</v>
      </c>
      <c r="AC22" s="19">
        <v>6.0348988928552699E-2</v>
      </c>
      <c r="AD22" s="19">
        <v>3.4712757102500401E-2</v>
      </c>
      <c r="AE22" s="19">
        <v>2.6250775736462902E-2</v>
      </c>
    </row>
    <row r="23" spans="1:31" x14ac:dyDescent="0.2">
      <c r="A23" s="13">
        <v>23</v>
      </c>
      <c r="B23" s="14" t="s">
        <v>146</v>
      </c>
      <c r="C23" s="15" t="s">
        <v>125</v>
      </c>
      <c r="D23" s="14" t="s">
        <v>136</v>
      </c>
      <c r="E23" s="14" t="s">
        <v>125</v>
      </c>
      <c r="F23" s="14" t="s">
        <v>111</v>
      </c>
      <c r="G23" s="14" t="s">
        <v>109</v>
      </c>
      <c r="H23" s="16">
        <v>1.34780704790478E-2</v>
      </c>
      <c r="I23" s="16">
        <v>4.4842835445120001E-2</v>
      </c>
      <c r="J23" s="16">
        <v>4.3263099039492499E-2</v>
      </c>
      <c r="K23" s="16">
        <v>1.39481762233986E-2</v>
      </c>
      <c r="L23" s="16">
        <v>6.6236287875302405E-2</v>
      </c>
      <c r="M23" s="16">
        <v>1.40897336937305E-2</v>
      </c>
      <c r="N23" s="16">
        <v>3.0689013842778502E-3</v>
      </c>
      <c r="O23" s="16">
        <v>2.84713357260927E-2</v>
      </c>
      <c r="P23" s="16">
        <v>1.82308316788529E-2</v>
      </c>
      <c r="Q23" s="16">
        <v>5.3052746466808999E-2</v>
      </c>
      <c r="R23" s="16">
        <v>7.7509061449782798E-2</v>
      </c>
      <c r="S23" s="16">
        <v>2.6000087456881999E-2</v>
      </c>
      <c r="T23" s="16">
        <v>0.111936939289264</v>
      </c>
      <c r="U23" s="16">
        <v>0.115704678525211</v>
      </c>
      <c r="V23" s="16">
        <v>5.5842190922413298E-2</v>
      </c>
      <c r="W23" s="16">
        <v>8.3991557139475398E-2</v>
      </c>
      <c r="X23" s="16">
        <v>9.7515193737459493E-3</v>
      </c>
      <c r="Y23" s="16">
        <v>0.37742835668963998</v>
      </c>
      <c r="Z23" s="16">
        <v>2.1176317181868201E-2</v>
      </c>
      <c r="AA23" s="16">
        <v>0.10611614405383001</v>
      </c>
      <c r="AB23" s="16">
        <v>6.2373563721817599E-2</v>
      </c>
      <c r="AC23" s="16">
        <v>2.6591154523065399E-2</v>
      </c>
      <c r="AD23" s="16">
        <v>0.106523815319398</v>
      </c>
      <c r="AE23" s="16">
        <v>2.8675307811594899E-2</v>
      </c>
    </row>
    <row r="24" spans="1:31" x14ac:dyDescent="0.2">
      <c r="A24" s="13">
        <v>24</v>
      </c>
      <c r="B24" s="17" t="s">
        <v>113</v>
      </c>
      <c r="C24" s="18" t="s">
        <v>125</v>
      </c>
      <c r="D24" s="17" t="s">
        <v>133</v>
      </c>
      <c r="E24" s="17" t="s">
        <v>125</v>
      </c>
      <c r="F24" s="17" t="s">
        <v>130</v>
      </c>
      <c r="G24" s="17" t="s">
        <v>109</v>
      </c>
      <c r="H24" s="19">
        <v>2.6149995938675601E-2</v>
      </c>
      <c r="I24" s="19">
        <v>4.0510583112033101E-2</v>
      </c>
      <c r="J24" s="19">
        <v>5.9698571877547603E-2</v>
      </c>
      <c r="K24" s="19">
        <v>2.5876277906543701E-2</v>
      </c>
      <c r="L24" s="19">
        <v>7.0746801816935795E-2</v>
      </c>
      <c r="M24" s="19">
        <v>1.8450999171916099E-2</v>
      </c>
      <c r="N24" s="19">
        <v>6.2045110059314101E-3</v>
      </c>
      <c r="O24" s="19">
        <v>3.3813356046464398E-2</v>
      </c>
      <c r="P24" s="19">
        <v>1.7130883119948501E-3</v>
      </c>
      <c r="Q24" s="19">
        <v>5.4175316309698497E-2</v>
      </c>
      <c r="R24" s="19">
        <v>9.0263990613147202E-2</v>
      </c>
      <c r="S24" s="19">
        <v>7.9429392321751002E-2</v>
      </c>
      <c r="T24" s="19">
        <v>5.66446198060735E-2</v>
      </c>
      <c r="U24" s="19">
        <v>6.1763030655584597E-2</v>
      </c>
      <c r="V24" s="19">
        <v>5.16404340590082E-3</v>
      </c>
      <c r="W24" s="19">
        <v>9.5604107130785598E-2</v>
      </c>
      <c r="X24" s="19">
        <v>5.3733997756529303E-2</v>
      </c>
      <c r="Y24" s="19">
        <v>0.402925423271007</v>
      </c>
      <c r="Z24" s="19">
        <v>2.6975596419289E-2</v>
      </c>
      <c r="AA24" s="19">
        <v>3.2633632613691697E-2</v>
      </c>
      <c r="AB24" s="19">
        <v>4.7792973331527197E-2</v>
      </c>
      <c r="AC24" s="19">
        <v>1.7119412204099599E-2</v>
      </c>
      <c r="AD24" s="19">
        <v>6.6543621349678006E-2</v>
      </c>
      <c r="AE24" s="19">
        <v>4.9135697019418903E-2</v>
      </c>
    </row>
    <row r="25" spans="1:31" x14ac:dyDescent="0.2">
      <c r="A25" s="13">
        <v>25</v>
      </c>
      <c r="B25" s="14" t="s">
        <v>8</v>
      </c>
      <c r="C25" s="15" t="s">
        <v>125</v>
      </c>
      <c r="D25" s="14" t="s">
        <v>135</v>
      </c>
      <c r="E25" s="14" t="s">
        <v>125</v>
      </c>
      <c r="F25" s="14" t="s">
        <v>74</v>
      </c>
      <c r="G25" s="14" t="s">
        <v>109</v>
      </c>
      <c r="H25" s="16">
        <v>1.88994759559486E-2</v>
      </c>
      <c r="I25" s="16">
        <v>2.7701103567820601E-2</v>
      </c>
      <c r="J25" s="16">
        <v>1.9717671504943499E-2</v>
      </c>
      <c r="K25" s="16">
        <v>2.15958385372601E-2</v>
      </c>
      <c r="L25" s="16">
        <v>6.5702179377682496E-2</v>
      </c>
      <c r="M25" s="20" t="s">
        <v>24</v>
      </c>
      <c r="N25" s="16">
        <v>1.85568686738137E-2</v>
      </c>
      <c r="O25" s="16">
        <v>4.9177332278921702E-2</v>
      </c>
      <c r="P25" s="16">
        <v>2.4213232931532599E-3</v>
      </c>
      <c r="Q25" s="16">
        <v>5.6933094498522699E-2</v>
      </c>
      <c r="R25" s="16">
        <v>6.3065700606518102E-2</v>
      </c>
      <c r="S25" s="16">
        <v>1.09805293284933E-2</v>
      </c>
      <c r="T25" s="16">
        <v>8.9391410119010403E-2</v>
      </c>
      <c r="U25" s="16">
        <v>7.4173430222947395E-2</v>
      </c>
      <c r="V25" s="16">
        <v>3.7037789247661101E-2</v>
      </c>
      <c r="W25" s="16">
        <v>7.3639189288991894E-2</v>
      </c>
      <c r="X25" s="16">
        <v>1.5678472602280401E-2</v>
      </c>
      <c r="Y25" s="16">
        <v>0.21031914068566099</v>
      </c>
      <c r="Z25" s="16">
        <v>3.3040743677214102E-2</v>
      </c>
      <c r="AA25" s="16">
        <v>1.7492142088048199E-2</v>
      </c>
      <c r="AB25" s="16">
        <v>2.8844758486090399E-2</v>
      </c>
      <c r="AC25" s="16">
        <v>2.48674700364548E-2</v>
      </c>
      <c r="AD25" s="16">
        <v>4.7905923423829197E-2</v>
      </c>
      <c r="AE25" s="16">
        <v>3.7638563216853001E-2</v>
      </c>
    </row>
    <row r="26" spans="1:31" x14ac:dyDescent="0.2">
      <c r="A26" s="13">
        <v>26</v>
      </c>
      <c r="B26" s="17" t="s">
        <v>97</v>
      </c>
      <c r="C26" s="18" t="s">
        <v>125</v>
      </c>
      <c r="D26" s="17" t="s">
        <v>105</v>
      </c>
      <c r="E26" s="17" t="s">
        <v>125</v>
      </c>
      <c r="F26" s="17" t="s">
        <v>15</v>
      </c>
      <c r="G26" s="17" t="s">
        <v>109</v>
      </c>
      <c r="H26" s="19">
        <v>2.69280862567353E-2</v>
      </c>
      <c r="I26" s="19">
        <v>1.8065288428974601E-2</v>
      </c>
      <c r="J26" s="19">
        <v>5.7285823017807901E-2</v>
      </c>
      <c r="K26" s="19">
        <v>1.5696229847382202E-2</v>
      </c>
      <c r="L26" s="19">
        <v>5.8362274297810997E-2</v>
      </c>
      <c r="M26" s="19">
        <v>1.09091363837799E-2</v>
      </c>
      <c r="N26" s="19">
        <v>8.5636679651550796E-3</v>
      </c>
      <c r="O26" s="19">
        <v>1.24030143733708E-2</v>
      </c>
      <c r="P26" s="19">
        <v>2.17845022667831E-2</v>
      </c>
      <c r="Q26" s="19">
        <v>5.0318758600094E-2</v>
      </c>
      <c r="R26" s="19">
        <v>3.8243121695777503E-2</v>
      </c>
      <c r="S26" s="19">
        <v>9.0349166862046804E-2</v>
      </c>
      <c r="T26" s="19">
        <v>3.6295018499722997E-2</v>
      </c>
      <c r="U26" s="19">
        <v>7.0742201248113507E-2</v>
      </c>
      <c r="V26" s="19">
        <v>3.7188030163572201E-2</v>
      </c>
      <c r="W26" s="19">
        <v>7.4870271608974706E-2</v>
      </c>
      <c r="X26" s="19">
        <v>9.5441055171785902E-2</v>
      </c>
      <c r="Y26" s="19">
        <v>3.2026367258935998E-2</v>
      </c>
      <c r="Z26" s="19">
        <v>4.1477188621185601E-2</v>
      </c>
      <c r="AA26" s="19">
        <v>6.3663095798158098E-2</v>
      </c>
      <c r="AB26" s="19">
        <v>3.8990250056989299E-2</v>
      </c>
      <c r="AC26" s="19">
        <v>2.46221168088697E-2</v>
      </c>
      <c r="AD26" s="19">
        <v>2.81898239562254E-2</v>
      </c>
      <c r="AE26" s="19">
        <v>5.38485221770355E-2</v>
      </c>
    </row>
    <row r="27" spans="1:31" x14ac:dyDescent="0.2">
      <c r="A27" s="13">
        <v>27</v>
      </c>
      <c r="B27" s="14" t="s">
        <v>75</v>
      </c>
      <c r="C27" s="15" t="s">
        <v>125</v>
      </c>
      <c r="D27" s="14" t="s">
        <v>70</v>
      </c>
      <c r="E27" s="14" t="s">
        <v>125</v>
      </c>
      <c r="F27" s="14" t="s">
        <v>7</v>
      </c>
      <c r="G27" s="14" t="s">
        <v>109</v>
      </c>
      <c r="H27" s="16">
        <v>7.1027851702997802E-2</v>
      </c>
      <c r="I27" s="16">
        <v>9.2627659344563296E-2</v>
      </c>
      <c r="J27" s="16">
        <v>2.69809465436462E-2</v>
      </c>
      <c r="K27" s="16">
        <v>6.9061985193719297E-3</v>
      </c>
      <c r="L27" s="16">
        <v>0.105211518361289</v>
      </c>
      <c r="M27" s="16">
        <v>3.7705124743722798E-2</v>
      </c>
      <c r="N27" s="16">
        <v>0.116934155690934</v>
      </c>
      <c r="O27" s="16">
        <v>6.9979589619490606E-2</v>
      </c>
      <c r="P27" s="16">
        <v>3.4670881391467401E-2</v>
      </c>
      <c r="Q27" s="16">
        <v>1.4646020441926E-2</v>
      </c>
      <c r="R27" s="16">
        <v>6.9101814883712795E-2</v>
      </c>
      <c r="S27" s="16">
        <v>7.9493348078953294E-2</v>
      </c>
      <c r="T27" s="16">
        <v>0.110030613358712</v>
      </c>
      <c r="U27" s="16">
        <v>7.7189679791085902E-2</v>
      </c>
      <c r="V27" s="16">
        <v>0.135950838384016</v>
      </c>
      <c r="W27" s="16">
        <v>7.25599865696561E-3</v>
      </c>
      <c r="X27" s="16">
        <v>3.6710237189416198E-2</v>
      </c>
      <c r="Y27" s="16">
        <v>0.220363964744832</v>
      </c>
      <c r="Z27" s="16">
        <v>0.11592430852130201</v>
      </c>
      <c r="AA27" s="16">
        <v>1.7160061874119899E-2</v>
      </c>
      <c r="AB27" s="16">
        <v>0.12786753098359599</v>
      </c>
      <c r="AC27" s="16">
        <v>0.14913584410811501</v>
      </c>
      <c r="AD27" s="16">
        <v>8.7505185227893204E-2</v>
      </c>
      <c r="AE27" s="16">
        <v>0.104740276810289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E28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67</v>
      </c>
      <c r="B1" s="1" t="s">
        <v>131</v>
      </c>
      <c r="C1" s="1" t="s">
        <v>99</v>
      </c>
      <c r="D1" s="1" t="s">
        <v>42</v>
      </c>
      <c r="E1" s="1" t="s">
        <v>55</v>
      </c>
      <c r="F1" s="1" t="s">
        <v>77</v>
      </c>
      <c r="G1" s="1" t="s">
        <v>127</v>
      </c>
      <c r="H1" s="1" t="s">
        <v>128</v>
      </c>
      <c r="I1" s="1" t="s">
        <v>73</v>
      </c>
      <c r="J1" s="1" t="s">
        <v>123</v>
      </c>
      <c r="K1" s="1" t="s">
        <v>122</v>
      </c>
      <c r="L1" s="1" t="s">
        <v>65</v>
      </c>
      <c r="M1" s="1" t="s">
        <v>64</v>
      </c>
      <c r="N1" s="2" t="s">
        <v>108</v>
      </c>
      <c r="O1" s="1" t="s">
        <v>149</v>
      </c>
      <c r="P1" s="2" t="s">
        <v>45</v>
      </c>
      <c r="Q1" s="1" t="s">
        <v>20</v>
      </c>
      <c r="R1" s="1" t="s">
        <v>32</v>
      </c>
      <c r="S1" s="1" t="s">
        <v>116</v>
      </c>
      <c r="T1" s="1" t="s">
        <v>25</v>
      </c>
      <c r="U1" s="1" t="s">
        <v>26</v>
      </c>
      <c r="V1" s="1" t="s">
        <v>140</v>
      </c>
      <c r="W1" s="1" t="s">
        <v>117</v>
      </c>
      <c r="X1" s="1" t="s">
        <v>44</v>
      </c>
      <c r="Y1" s="1" t="s">
        <v>43</v>
      </c>
      <c r="Z1" s="1" t="s">
        <v>1</v>
      </c>
      <c r="AA1" s="1" t="s">
        <v>17</v>
      </c>
      <c r="AB1" s="1" t="s">
        <v>102</v>
      </c>
      <c r="AC1" s="1" t="s">
        <v>90</v>
      </c>
      <c r="AD1" s="1" t="s">
        <v>89</v>
      </c>
      <c r="AE1" s="1" t="s">
        <v>119</v>
      </c>
    </row>
    <row r="2" spans="1:31" x14ac:dyDescent="0.2">
      <c r="A2" s="3">
        <v>1</v>
      </c>
      <c r="B2" s="4" t="s">
        <v>14</v>
      </c>
      <c r="C2" s="5" t="s">
        <v>125</v>
      </c>
      <c r="D2" s="4" t="s">
        <v>100</v>
      </c>
      <c r="E2" s="4" t="s">
        <v>125</v>
      </c>
      <c r="F2" s="4" t="s">
        <v>110</v>
      </c>
      <c r="G2" s="4" t="s">
        <v>109</v>
      </c>
      <c r="H2" s="21">
        <v>23739.7219999546</v>
      </c>
      <c r="I2" s="21">
        <v>806.02279614632096</v>
      </c>
      <c r="J2" s="21">
        <v>3843.8508944690798</v>
      </c>
      <c r="K2" s="21">
        <v>17339027.134490199</v>
      </c>
      <c r="L2" s="21">
        <v>25152.829033496699</v>
      </c>
      <c r="M2" s="21">
        <v>4312256.8701230399</v>
      </c>
      <c r="N2" s="21">
        <v>11.3333378600018</v>
      </c>
      <c r="O2" s="21">
        <v>220.66838574016899</v>
      </c>
      <c r="P2" s="21">
        <v>2627.5751711251701</v>
      </c>
      <c r="Q2" s="21">
        <v>35101.0824121939</v>
      </c>
      <c r="R2" s="21">
        <v>1221.38568429002</v>
      </c>
      <c r="S2" s="21">
        <v>67769.083051015798</v>
      </c>
      <c r="T2" s="21">
        <v>256.00235006203201</v>
      </c>
      <c r="U2" s="21">
        <v>101.333713668155</v>
      </c>
      <c r="V2" s="21">
        <v>541.34360140830995</v>
      </c>
      <c r="W2" s="21">
        <v>8039.5968302438896</v>
      </c>
      <c r="X2" s="21">
        <v>64361.322956175201</v>
      </c>
      <c r="Y2" s="21">
        <v>28.633800329437001</v>
      </c>
      <c r="Z2" s="21">
        <v>100.667022314593</v>
      </c>
      <c r="AA2" s="21">
        <v>342.069359482761</v>
      </c>
      <c r="AB2" s="21">
        <v>32.000040693388797</v>
      </c>
      <c r="AC2" s="21">
        <v>99.333682447907606</v>
      </c>
      <c r="AD2" s="21">
        <v>87.3336004074838</v>
      </c>
      <c r="AE2" s="21">
        <v>216.001634745719</v>
      </c>
    </row>
    <row r="3" spans="1:31" x14ac:dyDescent="0.2">
      <c r="A3" s="3">
        <v>2</v>
      </c>
      <c r="B3" s="7" t="s">
        <v>14</v>
      </c>
      <c r="C3" s="8" t="s">
        <v>125</v>
      </c>
      <c r="D3" s="7" t="s">
        <v>96</v>
      </c>
      <c r="E3" s="7" t="s">
        <v>125</v>
      </c>
      <c r="F3" s="7" t="s">
        <v>27</v>
      </c>
      <c r="G3" s="7" t="s">
        <v>109</v>
      </c>
      <c r="H3" s="22">
        <v>25480.043305019</v>
      </c>
      <c r="I3" s="22">
        <v>808.68979958237503</v>
      </c>
      <c r="J3" s="22">
        <v>3663.1373055383601</v>
      </c>
      <c r="K3" s="22">
        <v>18039039.868115202</v>
      </c>
      <c r="L3" s="22">
        <v>26129.334213901901</v>
      </c>
      <c r="M3" s="22">
        <v>4366713.7528966498</v>
      </c>
      <c r="N3" s="22">
        <v>11.333337953335301</v>
      </c>
      <c r="O3" s="22">
        <v>214.66828909233701</v>
      </c>
      <c r="P3" s="22">
        <v>2514.8881382749901</v>
      </c>
      <c r="Q3" s="22">
        <v>34077.953946398899</v>
      </c>
      <c r="R3" s="22">
        <v>1221.3855866506599</v>
      </c>
      <c r="S3" s="22">
        <v>62387.329757083302</v>
      </c>
      <c r="T3" s="22">
        <v>254.00227012038999</v>
      </c>
      <c r="U3" s="22">
        <v>80.000229880678205</v>
      </c>
      <c r="V3" s="22">
        <v>569.34470706777904</v>
      </c>
      <c r="W3" s="22">
        <v>8109.6370103190602</v>
      </c>
      <c r="X3" s="22">
        <v>61337.8873861096</v>
      </c>
      <c r="Y3" s="22">
        <v>34.019380019402199</v>
      </c>
      <c r="Z3" s="22">
        <v>132.66729102297899</v>
      </c>
      <c r="AA3" s="22">
        <v>289.456899519155</v>
      </c>
      <c r="AB3" s="22">
        <v>24.666689953356499</v>
      </c>
      <c r="AC3" s="22">
        <v>117.333816521995</v>
      </c>
      <c r="AD3" s="22">
        <v>79.333553647278606</v>
      </c>
      <c r="AE3" s="22">
        <v>210.001546124736</v>
      </c>
    </row>
    <row r="4" spans="1:31" x14ac:dyDescent="0.2">
      <c r="A4" s="3">
        <v>3</v>
      </c>
      <c r="B4" s="4" t="s">
        <v>14</v>
      </c>
      <c r="C4" s="5" t="s">
        <v>125</v>
      </c>
      <c r="D4" s="4" t="s">
        <v>103</v>
      </c>
      <c r="E4" s="4" t="s">
        <v>125</v>
      </c>
      <c r="F4" s="4" t="s">
        <v>120</v>
      </c>
      <c r="G4" s="4" t="s">
        <v>109</v>
      </c>
      <c r="H4" s="21">
        <v>24312.673183340001</v>
      </c>
      <c r="I4" s="21">
        <v>1342.0631428358699</v>
      </c>
      <c r="J4" s="21">
        <v>18005.0106963328</v>
      </c>
      <c r="K4" s="21">
        <v>17628244.570987899</v>
      </c>
      <c r="L4" s="21">
        <v>26208.069118207</v>
      </c>
      <c r="M4" s="21">
        <v>4515788.7123024799</v>
      </c>
      <c r="N4" s="21">
        <v>12.6666725000028</v>
      </c>
      <c r="O4" s="21">
        <v>198.66806303657799</v>
      </c>
      <c r="P4" s="21">
        <v>2476.88138036705</v>
      </c>
      <c r="Q4" s="21">
        <v>35341.662447946801</v>
      </c>
      <c r="R4" s="21">
        <v>1176.0485677321701</v>
      </c>
      <c r="S4" s="21">
        <v>72145.102710739302</v>
      </c>
      <c r="T4" s="21">
        <v>268.00252991736801</v>
      </c>
      <c r="U4" s="21">
        <v>104.667050594743</v>
      </c>
      <c r="V4" s="21">
        <v>525.34302496604403</v>
      </c>
      <c r="W4" s="21">
        <v>7752.7726861790397</v>
      </c>
      <c r="X4" s="21">
        <v>62368.6083742185</v>
      </c>
      <c r="Y4" s="21">
        <v>49.993425445979902</v>
      </c>
      <c r="Z4" s="21">
        <v>120.000505122131</v>
      </c>
      <c r="AA4" s="21">
        <v>338.73594009580103</v>
      </c>
      <c r="AB4" s="21">
        <v>20.000016333348</v>
      </c>
      <c r="AC4" s="21">
        <v>91.333626820947998</v>
      </c>
      <c r="AD4" s="21">
        <v>82.000246634106006</v>
      </c>
      <c r="AE4" s="21">
        <v>200.00142082358099</v>
      </c>
    </row>
    <row r="5" spans="1:31" x14ac:dyDescent="0.2">
      <c r="A5" s="3">
        <v>4</v>
      </c>
      <c r="B5" s="7" t="s">
        <v>14</v>
      </c>
      <c r="C5" s="8" t="s">
        <v>125</v>
      </c>
      <c r="D5" s="7" t="s">
        <v>151</v>
      </c>
      <c r="E5" s="7" t="s">
        <v>125</v>
      </c>
      <c r="F5" s="7" t="s">
        <v>76</v>
      </c>
      <c r="G5" s="7" t="s">
        <v>109</v>
      </c>
      <c r="H5" s="22">
        <v>159066.93271274201</v>
      </c>
      <c r="I5" s="22">
        <v>11687.446150547001</v>
      </c>
      <c r="J5" s="22">
        <v>45916.437217014201</v>
      </c>
      <c r="K5" s="22">
        <v>17940116.8511029</v>
      </c>
      <c r="L5" s="22">
        <v>16957.447176960999</v>
      </c>
      <c r="M5" s="22">
        <v>4430943.3947590198</v>
      </c>
      <c r="N5" s="22">
        <v>92.000307161062594</v>
      </c>
      <c r="O5" s="22">
        <v>704.01737648292703</v>
      </c>
      <c r="P5" s="22">
        <v>3820.51088996933</v>
      </c>
      <c r="Q5" s="22">
        <v>42259.0986988062</v>
      </c>
      <c r="R5" s="22">
        <v>4418.6843232417796</v>
      </c>
      <c r="S5" s="22">
        <v>69071.434093373406</v>
      </c>
      <c r="T5" s="22">
        <v>1308.72668438907</v>
      </c>
      <c r="U5" s="22">
        <v>45568.202215036203</v>
      </c>
      <c r="V5" s="22">
        <v>1080.7075585278701</v>
      </c>
      <c r="W5" s="22">
        <v>10493.1904042674</v>
      </c>
      <c r="X5" s="22">
        <v>57139.234280340002</v>
      </c>
      <c r="Y5" s="22">
        <v>36.717391712346299</v>
      </c>
      <c r="Z5" s="22">
        <v>586.67877197096198</v>
      </c>
      <c r="AA5" s="22">
        <v>1112.0682164280599</v>
      </c>
      <c r="AB5" s="22">
        <v>52.666765273521001</v>
      </c>
      <c r="AC5" s="22">
        <v>296.66976849264</v>
      </c>
      <c r="AD5" s="22">
        <v>249.335535926343</v>
      </c>
      <c r="AE5" s="22">
        <v>622.680311740717</v>
      </c>
    </row>
    <row r="6" spans="1:31" x14ac:dyDescent="0.2">
      <c r="A6" s="3">
        <v>5</v>
      </c>
      <c r="B6" s="4" t="s">
        <v>37</v>
      </c>
      <c r="C6" s="5" t="s">
        <v>125</v>
      </c>
      <c r="D6" s="4" t="s">
        <v>5</v>
      </c>
      <c r="E6" s="4" t="s">
        <v>125</v>
      </c>
      <c r="F6" s="4" t="s">
        <v>16</v>
      </c>
      <c r="G6" s="4" t="s">
        <v>109</v>
      </c>
      <c r="H6" s="21">
        <v>327311.48759381298</v>
      </c>
      <c r="I6" s="21">
        <v>160372.855261144</v>
      </c>
      <c r="J6" s="21">
        <v>285826.38910774799</v>
      </c>
      <c r="K6" s="21">
        <v>223051.505955072</v>
      </c>
      <c r="L6" s="21">
        <v>60170.661219760797</v>
      </c>
      <c r="M6" s="21">
        <v>1222792.92405672</v>
      </c>
      <c r="N6" s="21">
        <v>174.002180615642</v>
      </c>
      <c r="O6" s="21">
        <v>766.05828943323195</v>
      </c>
      <c r="P6" s="21">
        <v>2563.5819840286799</v>
      </c>
      <c r="Q6" s="21">
        <v>11119.790101529599</v>
      </c>
      <c r="R6" s="21">
        <v>237483.06210051599</v>
      </c>
      <c r="S6" s="21">
        <v>8945.7186442011007</v>
      </c>
      <c r="T6" s="21">
        <v>165261.48940660301</v>
      </c>
      <c r="U6" s="21">
        <v>29861.155256656901</v>
      </c>
      <c r="V6" s="21">
        <v>71914.353287118007</v>
      </c>
      <c r="W6" s="21">
        <v>21509.3352707628</v>
      </c>
      <c r="X6" s="21">
        <v>9835.0387347445394</v>
      </c>
      <c r="Y6" s="21">
        <v>2419.5542756897798</v>
      </c>
      <c r="Z6" s="21">
        <v>208519.34200902999</v>
      </c>
      <c r="AA6" s="21">
        <v>27140.423294452601</v>
      </c>
      <c r="AB6" s="21">
        <v>38818.243097213701</v>
      </c>
      <c r="AC6" s="21">
        <v>111008.739908909</v>
      </c>
      <c r="AD6" s="21">
        <v>98307.310254409604</v>
      </c>
      <c r="AE6" s="21">
        <v>251019.02947088599</v>
      </c>
    </row>
    <row r="7" spans="1:31" x14ac:dyDescent="0.2">
      <c r="A7" s="3">
        <v>6</v>
      </c>
      <c r="B7" s="7" t="s">
        <v>50</v>
      </c>
      <c r="C7" s="8" t="s">
        <v>125</v>
      </c>
      <c r="D7" s="7" t="s">
        <v>34</v>
      </c>
      <c r="E7" s="7" t="s">
        <v>125</v>
      </c>
      <c r="F7" s="7" t="s">
        <v>142</v>
      </c>
      <c r="G7" s="7" t="s">
        <v>109</v>
      </c>
      <c r="H7" s="22">
        <v>994799.48603742302</v>
      </c>
      <c r="I7" s="22">
        <v>633024.53896323906</v>
      </c>
      <c r="J7" s="22">
        <v>982845.28008568101</v>
      </c>
      <c r="K7" s="22">
        <v>1703462.4999213801</v>
      </c>
      <c r="L7" s="22">
        <v>239974.80669951299</v>
      </c>
      <c r="M7" s="22">
        <v>4708053.6132183997</v>
      </c>
      <c r="N7" s="22">
        <v>793.36049987933905</v>
      </c>
      <c r="O7" s="22">
        <v>3221.85592860317</v>
      </c>
      <c r="P7" s="22">
        <v>9785.96659777268</v>
      </c>
      <c r="Q7" s="22">
        <v>43161.6643531437</v>
      </c>
      <c r="R7" s="22">
        <v>944990.73241659196</v>
      </c>
      <c r="S7" s="22">
        <v>20428.7187990491</v>
      </c>
      <c r="T7" s="22">
        <v>654050.46172019897</v>
      </c>
      <c r="U7" s="22">
        <v>126381.591347329</v>
      </c>
      <c r="V7" s="22">
        <v>285124.751212587</v>
      </c>
      <c r="W7" s="22">
        <v>79995.339834562401</v>
      </c>
      <c r="X7" s="22">
        <v>31008.4468351906</v>
      </c>
      <c r="Y7" s="22">
        <v>9826.8582537574403</v>
      </c>
      <c r="Z7" s="22">
        <v>818849.33441252797</v>
      </c>
      <c r="AA7" s="22">
        <v>111892.864738798</v>
      </c>
      <c r="AB7" s="22">
        <v>153179.900036065</v>
      </c>
      <c r="AC7" s="22">
        <v>440623.53916477802</v>
      </c>
      <c r="AD7" s="22">
        <v>392507.50377205701</v>
      </c>
      <c r="AE7" s="22">
        <v>1017556.00874168</v>
      </c>
    </row>
    <row r="8" spans="1:31" x14ac:dyDescent="0.2">
      <c r="A8" s="3">
        <v>7</v>
      </c>
      <c r="B8" s="4" t="s">
        <v>41</v>
      </c>
      <c r="C8" s="5" t="s">
        <v>125</v>
      </c>
      <c r="D8" s="4" t="s">
        <v>60</v>
      </c>
      <c r="E8" s="4" t="s">
        <v>125</v>
      </c>
      <c r="F8" s="4" t="s">
        <v>126</v>
      </c>
      <c r="G8" s="4" t="s">
        <v>109</v>
      </c>
      <c r="H8" s="21">
        <v>2698189.7305697501</v>
      </c>
      <c r="I8" s="21">
        <v>1571537.85454001</v>
      </c>
      <c r="J8" s="21">
        <v>2451629.6702960902</v>
      </c>
      <c r="K8" s="21">
        <v>4913826.18024626</v>
      </c>
      <c r="L8" s="21">
        <v>591445.65171994304</v>
      </c>
      <c r="M8" s="21">
        <v>11685722.835999301</v>
      </c>
      <c r="N8" s="21">
        <v>1955.4797614029701</v>
      </c>
      <c r="O8" s="21">
        <v>7905.2455121036201</v>
      </c>
      <c r="P8" s="21">
        <v>23710.668621979701</v>
      </c>
      <c r="Q8" s="21">
        <v>103842.767171853</v>
      </c>
      <c r="R8" s="21">
        <v>2492096.89717751</v>
      </c>
      <c r="S8" s="21">
        <v>44726.703906617899</v>
      </c>
      <c r="T8" s="21">
        <v>1635618.95159301</v>
      </c>
      <c r="U8" s="21">
        <v>314013.262068838</v>
      </c>
      <c r="V8" s="21">
        <v>699220.38288995496</v>
      </c>
      <c r="W8" s="21">
        <v>168099.093275872</v>
      </c>
      <c r="X8" s="21">
        <v>69878.590385508796</v>
      </c>
      <c r="Y8" s="21">
        <v>24331.0718405968</v>
      </c>
      <c r="Z8" s="21">
        <v>2227787.4779365598</v>
      </c>
      <c r="AA8" s="21">
        <v>282087.00779037399</v>
      </c>
      <c r="AB8" s="21">
        <v>383089.261551806</v>
      </c>
      <c r="AC8" s="21">
        <v>1103335.1510937701</v>
      </c>
      <c r="AD8" s="21">
        <v>979130.13791475096</v>
      </c>
      <c r="AE8" s="21">
        <v>2594023.4408958601</v>
      </c>
    </row>
    <row r="9" spans="1:31" x14ac:dyDescent="0.2">
      <c r="A9" s="3">
        <v>8</v>
      </c>
      <c r="B9" s="7" t="s">
        <v>98</v>
      </c>
      <c r="C9" s="8" t="s">
        <v>125</v>
      </c>
      <c r="D9" s="7" t="s">
        <v>86</v>
      </c>
      <c r="E9" s="7" t="s">
        <v>125</v>
      </c>
      <c r="F9" s="7" t="s">
        <v>94</v>
      </c>
      <c r="G9" s="7" t="s">
        <v>109</v>
      </c>
      <c r="H9" s="22">
        <v>10560375.3070739</v>
      </c>
      <c r="I9" s="22">
        <v>6511501.9077659799</v>
      </c>
      <c r="J9" s="22">
        <v>9217367.8282726705</v>
      </c>
      <c r="K9" s="22">
        <v>20456352.416933302</v>
      </c>
      <c r="L9" s="22">
        <v>2625609.07187055</v>
      </c>
      <c r="M9" s="22">
        <v>47155601.960088402</v>
      </c>
      <c r="N9" s="22">
        <v>7625.4187081533801</v>
      </c>
      <c r="O9" s="22">
        <v>31466.857060553601</v>
      </c>
      <c r="P9" s="22">
        <v>94265.894841694302</v>
      </c>
      <c r="Q9" s="22">
        <v>427700.53608510102</v>
      </c>
      <c r="R9" s="22">
        <v>9188128.7486889604</v>
      </c>
      <c r="S9" s="22">
        <v>173662.42587080499</v>
      </c>
      <c r="T9" s="22">
        <v>7128992.5828487203</v>
      </c>
      <c r="U9" s="22">
        <v>1348999.0665617301</v>
      </c>
      <c r="V9" s="22">
        <v>3088866.5284866299</v>
      </c>
      <c r="W9" s="22">
        <v>651754.63296253502</v>
      </c>
      <c r="X9" s="22">
        <v>261679.27037671499</v>
      </c>
      <c r="Y9" s="22">
        <v>101061.94678210199</v>
      </c>
      <c r="Z9" s="22">
        <v>9175931.6407772992</v>
      </c>
      <c r="AA9" s="22">
        <v>1087934.8274230601</v>
      </c>
      <c r="AB9" s="22">
        <v>1574022.43573831</v>
      </c>
      <c r="AC9" s="22">
        <v>4490702.4352833796</v>
      </c>
      <c r="AD9" s="22">
        <v>3824775.7608017898</v>
      </c>
      <c r="AE9" s="22">
        <v>9931907.1586903092</v>
      </c>
    </row>
    <row r="10" spans="1:31" x14ac:dyDescent="0.2">
      <c r="A10" s="3">
        <v>9</v>
      </c>
      <c r="B10" s="4" t="s">
        <v>3</v>
      </c>
      <c r="C10" s="5" t="s">
        <v>125</v>
      </c>
      <c r="D10" s="4" t="s">
        <v>35</v>
      </c>
      <c r="E10" s="4" t="s">
        <v>125</v>
      </c>
      <c r="F10" s="4" t="s">
        <v>71</v>
      </c>
      <c r="G10" s="4" t="s">
        <v>109</v>
      </c>
      <c r="H10" s="21">
        <v>25586243.096416399</v>
      </c>
      <c r="I10" s="21">
        <v>16720149.8660884</v>
      </c>
      <c r="J10" s="21">
        <v>23668938.296696901</v>
      </c>
      <c r="K10" s="21">
        <v>52189841.036665201</v>
      </c>
      <c r="L10" s="21">
        <v>6370544.8773740996</v>
      </c>
      <c r="M10" s="21">
        <v>117312577.012466</v>
      </c>
      <c r="N10" s="21">
        <v>18899.286381419501</v>
      </c>
      <c r="O10" s="21">
        <v>76606.311415041302</v>
      </c>
      <c r="P10" s="21">
        <v>229601.881871088</v>
      </c>
      <c r="Q10" s="21">
        <v>1015366.94264314</v>
      </c>
      <c r="R10" s="21">
        <v>24824999.060598802</v>
      </c>
      <c r="S10" s="21">
        <v>465556.182067135</v>
      </c>
      <c r="T10" s="21">
        <v>17891180.2304384</v>
      </c>
      <c r="U10" s="21">
        <v>3386410.6736147101</v>
      </c>
      <c r="V10" s="21">
        <v>7779811.9291163702</v>
      </c>
      <c r="W10" s="21">
        <v>1647140.69558611</v>
      </c>
      <c r="X10" s="21">
        <v>703395.13985181099</v>
      </c>
      <c r="Y10" s="21">
        <v>248322.84018550499</v>
      </c>
      <c r="Z10" s="21">
        <v>23255601.888964798</v>
      </c>
      <c r="AA10" s="21">
        <v>3469009.4212861201</v>
      </c>
      <c r="AB10" s="21">
        <v>4099623.4190713302</v>
      </c>
      <c r="AC10" s="21">
        <v>11058482.2393301</v>
      </c>
      <c r="AD10" s="21">
        <v>9790033.8629224002</v>
      </c>
      <c r="AE10" s="21">
        <v>25362725.537051801</v>
      </c>
    </row>
    <row r="11" spans="1:31" x14ac:dyDescent="0.2">
      <c r="A11" s="3">
        <v>10</v>
      </c>
      <c r="B11" s="7" t="s">
        <v>84</v>
      </c>
      <c r="C11" s="8" t="s">
        <v>125</v>
      </c>
      <c r="D11" s="7" t="s">
        <v>155</v>
      </c>
      <c r="E11" s="7" t="s">
        <v>125</v>
      </c>
      <c r="F11" s="7" t="s">
        <v>145</v>
      </c>
      <c r="G11" s="7" t="s">
        <v>109</v>
      </c>
      <c r="H11" s="22">
        <v>99767016.917963207</v>
      </c>
      <c r="I11" s="22">
        <v>65761642.077134199</v>
      </c>
      <c r="J11" s="22">
        <v>92817930.673047602</v>
      </c>
      <c r="K11" s="22">
        <v>190873575.05193901</v>
      </c>
      <c r="L11" s="22">
        <v>24309833.057510801</v>
      </c>
      <c r="M11" s="22">
        <v>457967247.11830598</v>
      </c>
      <c r="N11" s="22">
        <v>74717.376642025105</v>
      </c>
      <c r="O11" s="22">
        <v>300037.22053645801</v>
      </c>
      <c r="P11" s="22">
        <v>913961.99882252095</v>
      </c>
      <c r="Q11" s="22">
        <v>4628755.4853226403</v>
      </c>
      <c r="R11" s="22">
        <v>98288195.314936697</v>
      </c>
      <c r="S11" s="22">
        <v>1867095.1133034499</v>
      </c>
      <c r="T11" s="22">
        <v>69517534.8810682</v>
      </c>
      <c r="U11" s="22">
        <v>13426437.033657501</v>
      </c>
      <c r="V11" s="22">
        <v>29941188.071224399</v>
      </c>
      <c r="W11" s="22">
        <v>6540927.8062678501</v>
      </c>
      <c r="X11" s="22">
        <v>2986291.5415747399</v>
      </c>
      <c r="Y11" s="22">
        <v>941222.88517078897</v>
      </c>
      <c r="Z11" s="22">
        <v>89460933.823575705</v>
      </c>
      <c r="AA11" s="22">
        <v>13505356.300228201</v>
      </c>
      <c r="AB11" s="22">
        <v>15675219.1868487</v>
      </c>
      <c r="AC11" s="22">
        <v>41601405.387183003</v>
      </c>
      <c r="AD11" s="22">
        <v>36450602.959633999</v>
      </c>
      <c r="AE11" s="22">
        <v>94606365.236677095</v>
      </c>
    </row>
    <row r="12" spans="1:31" x14ac:dyDescent="0.2">
      <c r="A12" s="3">
        <v>11</v>
      </c>
      <c r="B12" s="10" t="s">
        <v>83</v>
      </c>
      <c r="C12" s="3" t="s">
        <v>125</v>
      </c>
      <c r="D12" s="10" t="s">
        <v>155</v>
      </c>
      <c r="E12" s="10" t="s">
        <v>125</v>
      </c>
      <c r="F12" s="10" t="s">
        <v>125</v>
      </c>
      <c r="G12" s="10" t="s">
        <v>125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52</v>
      </c>
      <c r="C13" s="8" t="s">
        <v>125</v>
      </c>
      <c r="D13" s="7" t="s">
        <v>53</v>
      </c>
      <c r="E13" s="7" t="s">
        <v>125</v>
      </c>
      <c r="F13" s="7" t="s">
        <v>129</v>
      </c>
      <c r="G13" s="7" t="s">
        <v>109</v>
      </c>
      <c r="H13" s="22">
        <v>366899.79812068201</v>
      </c>
      <c r="I13" s="22">
        <v>237547.211736155</v>
      </c>
      <c r="J13" s="22">
        <v>317732.20074699097</v>
      </c>
      <c r="K13" s="22">
        <v>627291.62564842904</v>
      </c>
      <c r="L13" s="22">
        <v>101417.883672836</v>
      </c>
      <c r="M13" s="22">
        <v>1808337.3422421101</v>
      </c>
      <c r="N13" s="22">
        <v>522.67974128041999</v>
      </c>
      <c r="O13" s="22">
        <v>1234.11414326566</v>
      </c>
      <c r="P13" s="22">
        <v>6468.5533132562005</v>
      </c>
      <c r="Q13" s="22">
        <v>14620.640307792901</v>
      </c>
      <c r="R13" s="22">
        <v>391497.537546982</v>
      </c>
      <c r="S13" s="22">
        <v>-1443.72950748619</v>
      </c>
      <c r="T13" s="22">
        <v>252691.03039880999</v>
      </c>
      <c r="U13" s="22">
        <v>58173.8554224568</v>
      </c>
      <c r="V13" s="22">
        <v>134336.66654325099</v>
      </c>
      <c r="W13" s="22">
        <v>28004.846411016599</v>
      </c>
      <c r="X13" s="22">
        <v>12966.888524816601</v>
      </c>
      <c r="Y13" s="22">
        <v>3853.8339962078599</v>
      </c>
      <c r="Z13" s="22">
        <v>350951.78083736601</v>
      </c>
      <c r="AA13" s="22">
        <v>74151.733782554002</v>
      </c>
      <c r="AB13" s="22">
        <v>59797.013995184803</v>
      </c>
      <c r="AC13" s="22">
        <v>179702.37604889899</v>
      </c>
      <c r="AD13" s="22">
        <v>149707.717491024</v>
      </c>
      <c r="AE13" s="22">
        <v>362219.69180794503</v>
      </c>
    </row>
    <row r="14" spans="1:31" x14ac:dyDescent="0.2">
      <c r="A14" s="3">
        <v>13</v>
      </c>
      <c r="B14" s="4" t="s">
        <v>78</v>
      </c>
      <c r="C14" s="5" t="s">
        <v>125</v>
      </c>
      <c r="D14" s="4" t="s">
        <v>6</v>
      </c>
      <c r="E14" s="4" t="s">
        <v>125</v>
      </c>
      <c r="F14" s="4" t="s">
        <v>4</v>
      </c>
      <c r="G14" s="4" t="s">
        <v>109</v>
      </c>
      <c r="H14" s="21">
        <v>-113565.886677206</v>
      </c>
      <c r="I14" s="21">
        <v>2329.4602092648402</v>
      </c>
      <c r="J14" s="21">
        <v>-22670.871889911301</v>
      </c>
      <c r="K14" s="21">
        <v>158778.17922223199</v>
      </c>
      <c r="L14" s="21">
        <v>14701.740476327999</v>
      </c>
      <c r="M14" s="21">
        <v>136246.530464229</v>
      </c>
      <c r="N14" s="21">
        <v>-46.666898694267203</v>
      </c>
      <c r="O14" s="21">
        <v>-402.68086315601499</v>
      </c>
      <c r="P14" s="21">
        <v>-970.89285606185899</v>
      </c>
      <c r="Q14" s="21">
        <v>-7935.2317556412199</v>
      </c>
      <c r="R14" s="21">
        <v>16364.445283044601</v>
      </c>
      <c r="S14" s="21">
        <v>-11446.5049493111</v>
      </c>
      <c r="T14" s="21">
        <v>11148.0493578888</v>
      </c>
      <c r="U14" s="21">
        <v>-42503.2065625467</v>
      </c>
      <c r="V14" s="21">
        <v>6310.5385466379403</v>
      </c>
      <c r="W14" s="21">
        <v>-1479.0035977205901</v>
      </c>
      <c r="X14" s="21">
        <v>3032.9342564348199</v>
      </c>
      <c r="Y14" s="21">
        <v>199.976970654914</v>
      </c>
      <c r="Z14" s="21">
        <v>17433.427525442399</v>
      </c>
      <c r="AA14" s="21">
        <v>14333.2675498442</v>
      </c>
      <c r="AB14" s="21">
        <v>2880.9686155545</v>
      </c>
      <c r="AC14" s="21">
        <v>9231.8532433870205</v>
      </c>
      <c r="AD14" s="21">
        <v>7720.2392078688299</v>
      </c>
      <c r="AE14" s="21">
        <v>19019.564583633801</v>
      </c>
    </row>
    <row r="15" spans="1:31" x14ac:dyDescent="0.2">
      <c r="A15" s="3">
        <v>14</v>
      </c>
      <c r="B15" s="7" t="s">
        <v>72</v>
      </c>
      <c r="C15" s="8" t="s">
        <v>125</v>
      </c>
      <c r="D15" s="7" t="s">
        <v>107</v>
      </c>
      <c r="E15" s="7" t="s">
        <v>125</v>
      </c>
      <c r="F15" s="7" t="s">
        <v>31</v>
      </c>
      <c r="G15" s="7" t="s">
        <v>109</v>
      </c>
      <c r="H15" s="22">
        <v>11562211.2890354</v>
      </c>
      <c r="I15" s="22">
        <v>7142471.7465123404</v>
      </c>
      <c r="J15" s="22">
        <v>9247125.4322129097</v>
      </c>
      <c r="K15" s="22">
        <v>9387759.8465145305</v>
      </c>
      <c r="L15" s="22">
        <v>2796282.8907377101</v>
      </c>
      <c r="M15" s="22">
        <v>53362205.875205196</v>
      </c>
      <c r="N15" s="22">
        <v>7893.5648768102501</v>
      </c>
      <c r="O15" s="22">
        <v>30166.677574175101</v>
      </c>
      <c r="P15" s="22">
        <v>94767.171438940903</v>
      </c>
      <c r="Q15" s="22">
        <v>432338.64134761499</v>
      </c>
      <c r="R15" s="22">
        <v>10582909.443407601</v>
      </c>
      <c r="S15" s="22">
        <v>167606.24344758899</v>
      </c>
      <c r="T15" s="22">
        <v>6919545.0827881703</v>
      </c>
      <c r="U15" s="22">
        <v>1488633.1327114101</v>
      </c>
      <c r="V15" s="22">
        <v>3738295.7771107298</v>
      </c>
      <c r="W15" s="22">
        <v>700630.97862951702</v>
      </c>
      <c r="X15" s="22">
        <v>257719.17567362601</v>
      </c>
      <c r="Y15" s="22">
        <v>96546.473693005493</v>
      </c>
      <c r="Z15" s="22">
        <v>10643106.8982605</v>
      </c>
      <c r="AA15" s="22">
        <v>1068463.3637820301</v>
      </c>
      <c r="AB15" s="22">
        <v>1653645.5550201801</v>
      </c>
      <c r="AC15" s="22">
        <v>5061238.4245854104</v>
      </c>
      <c r="AD15" s="22">
        <v>4112127.7080771802</v>
      </c>
      <c r="AE15" s="22">
        <v>9812344.7515644003</v>
      </c>
    </row>
    <row r="16" spans="1:31" x14ac:dyDescent="0.2">
      <c r="A16" s="3">
        <v>15</v>
      </c>
      <c r="B16" s="4" t="s">
        <v>11</v>
      </c>
      <c r="C16" s="5" t="s">
        <v>125</v>
      </c>
      <c r="D16" s="4" t="s">
        <v>59</v>
      </c>
      <c r="E16" s="4" t="s">
        <v>125</v>
      </c>
      <c r="F16" s="4" t="s">
        <v>104</v>
      </c>
      <c r="G16" s="4" t="s">
        <v>109</v>
      </c>
      <c r="H16" s="21">
        <v>44052.934321836197</v>
      </c>
      <c r="I16" s="21">
        <v>22496.1297521952</v>
      </c>
      <c r="J16" s="21">
        <v>36196.215504902597</v>
      </c>
      <c r="K16" s="21">
        <v>-691615.08758152905</v>
      </c>
      <c r="L16" s="21">
        <v>8372.3896892478897</v>
      </c>
      <c r="M16" s="21">
        <v>-2739.33398700506</v>
      </c>
      <c r="N16" s="21">
        <v>38.666968695167398</v>
      </c>
      <c r="O16" s="21">
        <v>204.01154452017701</v>
      </c>
      <c r="P16" s="21">
        <v>486.138423199275</v>
      </c>
      <c r="Q16" s="21">
        <v>729.49229134427605</v>
      </c>
      <c r="R16" s="21">
        <v>34289.070401755802</v>
      </c>
      <c r="S16" s="21">
        <v>10.605819674897599</v>
      </c>
      <c r="T16" s="21">
        <v>24171.473419110302</v>
      </c>
      <c r="U16" s="21">
        <v>5344.4797280530502</v>
      </c>
      <c r="V16" s="21">
        <v>10365.216627453499</v>
      </c>
      <c r="W16" s="21">
        <v>2169.0933915246401</v>
      </c>
      <c r="X16" s="21">
        <v>6616.7589655238498</v>
      </c>
      <c r="Y16" s="21">
        <v>420.11364147459898</v>
      </c>
      <c r="Z16" s="21">
        <v>28588.417547488702</v>
      </c>
      <c r="AA16" s="21">
        <v>14896.0634737901</v>
      </c>
      <c r="AB16" s="21">
        <v>5525.0921559703202</v>
      </c>
      <c r="AC16" s="21">
        <v>16953.103403736299</v>
      </c>
      <c r="AD16" s="21">
        <v>14701.844076358801</v>
      </c>
      <c r="AE16" s="21">
        <v>37667.606691891902</v>
      </c>
    </row>
    <row r="17" spans="1:31" x14ac:dyDescent="0.2">
      <c r="A17" s="3">
        <v>16</v>
      </c>
      <c r="B17" s="7" t="s">
        <v>49</v>
      </c>
      <c r="C17" s="8" t="s">
        <v>125</v>
      </c>
      <c r="D17" s="7" t="s">
        <v>143</v>
      </c>
      <c r="E17" s="7" t="s">
        <v>125</v>
      </c>
      <c r="F17" s="7" t="s">
        <v>48</v>
      </c>
      <c r="G17" s="7" t="s">
        <v>109</v>
      </c>
      <c r="H17" s="22">
        <v>113610.037611473</v>
      </c>
      <c r="I17" s="22">
        <v>5450.8420449392197</v>
      </c>
      <c r="J17" s="22">
        <v>83087.589926979505</v>
      </c>
      <c r="K17" s="22">
        <v>-796297.38572362799</v>
      </c>
      <c r="L17" s="22">
        <v>2031.1660137286999</v>
      </c>
      <c r="M17" s="22">
        <v>-88129.826107721805</v>
      </c>
      <c r="N17" s="22">
        <v>7282.5693436578604</v>
      </c>
      <c r="O17" s="22">
        <v>53269.902090402902</v>
      </c>
      <c r="P17" s="22">
        <v>126127.96619161</v>
      </c>
      <c r="Q17" s="22">
        <v>902368.78404870897</v>
      </c>
      <c r="R17" s="22">
        <v>842.28610633238304</v>
      </c>
      <c r="S17" s="22">
        <v>-4533.3398981721202</v>
      </c>
      <c r="T17" s="22">
        <v>1224.8313213639201</v>
      </c>
      <c r="U17" s="22">
        <v>4326.8181545389298</v>
      </c>
      <c r="V17" s="22">
        <v>485.37851676937601</v>
      </c>
      <c r="W17" s="22">
        <v>8871.2756719394802</v>
      </c>
      <c r="X17" s="22">
        <v>2470.2575110530302</v>
      </c>
      <c r="Y17" s="22">
        <v>63.4070304119818</v>
      </c>
      <c r="Z17" s="22">
        <v>1504.8101346284</v>
      </c>
      <c r="AA17" s="22">
        <v>3347.36283279587</v>
      </c>
      <c r="AB17" s="22">
        <v>252.66990065698599</v>
      </c>
      <c r="AC17" s="22">
        <v>898.04705510184499</v>
      </c>
      <c r="AD17" s="22">
        <v>678.69467901967198</v>
      </c>
      <c r="AE17" s="22">
        <v>1808.1949592490801</v>
      </c>
    </row>
    <row r="18" spans="1:31" x14ac:dyDescent="0.2">
      <c r="A18" s="3">
        <v>17</v>
      </c>
      <c r="B18" s="4" t="s">
        <v>78</v>
      </c>
      <c r="C18" s="5" t="s">
        <v>125</v>
      </c>
      <c r="D18" s="4" t="s">
        <v>23</v>
      </c>
      <c r="E18" s="4" t="s">
        <v>125</v>
      </c>
      <c r="F18" s="4" t="s">
        <v>29</v>
      </c>
      <c r="G18" s="4" t="s">
        <v>109</v>
      </c>
      <c r="H18" s="21">
        <v>14664.9887810649</v>
      </c>
      <c r="I18" s="21">
        <v>-70.049760515111004</v>
      </c>
      <c r="J18" s="21">
        <v>4516.4423399931402</v>
      </c>
      <c r="K18" s="21">
        <v>-332195.83692027797</v>
      </c>
      <c r="L18" s="21">
        <v>-1386.2846299837599</v>
      </c>
      <c r="M18" s="21">
        <v>-80800.256791140593</v>
      </c>
      <c r="N18" s="21">
        <v>33.3335957882854</v>
      </c>
      <c r="O18" s="21">
        <v>192.01076113522399</v>
      </c>
      <c r="P18" s="21">
        <v>640.85230148836797</v>
      </c>
      <c r="Q18" s="21">
        <v>2301.6319363493099</v>
      </c>
      <c r="R18" s="21">
        <v>51.349409349166301</v>
      </c>
      <c r="S18" s="21">
        <v>4203.4666389695803</v>
      </c>
      <c r="T18" s="21">
        <v>296.03050744040797</v>
      </c>
      <c r="U18" s="21">
        <v>-2255.85386159465</v>
      </c>
      <c r="V18" s="21">
        <v>84.006922401457402</v>
      </c>
      <c r="W18" s="21">
        <v>-155.448221399273</v>
      </c>
      <c r="X18" s="21">
        <v>4232.4071220148699</v>
      </c>
      <c r="Y18" s="21">
        <v>33.942920255313503</v>
      </c>
      <c r="Z18" s="21">
        <v>162.00754547231199</v>
      </c>
      <c r="AA18" s="21">
        <v>2952.2131666073701</v>
      </c>
      <c r="AB18" s="21">
        <v>45.333573480991703</v>
      </c>
      <c r="AC18" s="21">
        <v>257.34099207004101</v>
      </c>
      <c r="AD18" s="21">
        <v>274.00740051018698</v>
      </c>
      <c r="AE18" s="21">
        <v>665.37800324380396</v>
      </c>
    </row>
    <row r="19" spans="1:31" x14ac:dyDescent="0.2">
      <c r="A19" s="3">
        <v>18</v>
      </c>
      <c r="B19" s="7" t="s">
        <v>22</v>
      </c>
      <c r="C19" s="8" t="s">
        <v>125</v>
      </c>
      <c r="D19" s="7" t="s">
        <v>66</v>
      </c>
      <c r="E19" s="7" t="s">
        <v>125</v>
      </c>
      <c r="F19" s="7" t="s">
        <v>68</v>
      </c>
      <c r="G19" s="7" t="s">
        <v>109</v>
      </c>
      <c r="H19" s="22">
        <v>212077.44248318399</v>
      </c>
      <c r="I19" s="22">
        <v>82020.911433755595</v>
      </c>
      <c r="J19" s="22">
        <v>210028.593217182</v>
      </c>
      <c r="K19" s="22">
        <v>-34549.419878913701</v>
      </c>
      <c r="L19" s="22">
        <v>29735.649783880799</v>
      </c>
      <c r="M19" s="22">
        <v>348743.46569204098</v>
      </c>
      <c r="N19" s="22">
        <v>124.001326184625</v>
      </c>
      <c r="O19" s="22">
        <v>746.72298544921205</v>
      </c>
      <c r="P19" s="22">
        <v>1614.52339274475</v>
      </c>
      <c r="Q19" s="22">
        <v>8229.9767795807202</v>
      </c>
      <c r="R19" s="22">
        <v>118037.040722972</v>
      </c>
      <c r="S19" s="22">
        <v>4429.9048303406998</v>
      </c>
      <c r="T19" s="22">
        <v>84919.419690727504</v>
      </c>
      <c r="U19" s="22">
        <v>14704.644023283399</v>
      </c>
      <c r="V19" s="22">
        <v>35299.609190001</v>
      </c>
      <c r="W19" s="22">
        <v>17472.215179030602</v>
      </c>
      <c r="X19" s="22">
        <v>9825.0399074282504</v>
      </c>
      <c r="Y19" s="22">
        <v>1249.40853853817</v>
      </c>
      <c r="Z19" s="22">
        <v>101180.851598899</v>
      </c>
      <c r="AA19" s="22">
        <v>14999.6797950529</v>
      </c>
      <c r="AB19" s="22">
        <v>19297.7825310076</v>
      </c>
      <c r="AC19" s="22">
        <v>54901.130921984099</v>
      </c>
      <c r="AD19" s="22">
        <v>48238.284327659901</v>
      </c>
      <c r="AE19" s="22">
        <v>125674.04107695</v>
      </c>
    </row>
    <row r="20" spans="1:31" x14ac:dyDescent="0.2">
      <c r="A20" s="3">
        <v>19</v>
      </c>
      <c r="B20" s="4" t="s">
        <v>51</v>
      </c>
      <c r="C20" s="5" t="s">
        <v>125</v>
      </c>
      <c r="D20" s="4" t="s">
        <v>115</v>
      </c>
      <c r="E20" s="4" t="s">
        <v>125</v>
      </c>
      <c r="F20" s="4" t="s">
        <v>56</v>
      </c>
      <c r="G20" s="4" t="s">
        <v>109</v>
      </c>
      <c r="H20" s="21">
        <v>10494256.5986726</v>
      </c>
      <c r="I20" s="21">
        <v>6643435.8672075402</v>
      </c>
      <c r="J20" s="21">
        <v>9504026.1029811706</v>
      </c>
      <c r="K20" s="21">
        <v>20956714.2493244</v>
      </c>
      <c r="L20" s="21">
        <v>2628745.4484214601</v>
      </c>
      <c r="M20" s="21">
        <v>46868335.341170996</v>
      </c>
      <c r="N20" s="21">
        <v>7535.3692172166302</v>
      </c>
      <c r="O20" s="21">
        <v>31510.972554042099</v>
      </c>
      <c r="P20" s="21">
        <v>92459.569436663398</v>
      </c>
      <c r="Q20" s="21">
        <v>419986.66280163202</v>
      </c>
      <c r="R20" s="21">
        <v>9710846.2672775593</v>
      </c>
      <c r="S20" s="21">
        <v>184101.86554534701</v>
      </c>
      <c r="T20" s="21">
        <v>7324924.2005410297</v>
      </c>
      <c r="U20" s="21">
        <v>1370477.3451356599</v>
      </c>
      <c r="V20" s="21">
        <v>3165891.7735696202</v>
      </c>
      <c r="W20" s="21">
        <v>693074.69191867195</v>
      </c>
      <c r="X20" s="21">
        <v>281373.28225403302</v>
      </c>
      <c r="Y20" s="21">
        <v>101400.471933615</v>
      </c>
      <c r="Z20" s="21">
        <v>9131746.0002796706</v>
      </c>
      <c r="AA20" s="21">
        <v>1113372.3903018399</v>
      </c>
      <c r="AB20" s="21">
        <v>1573963.49492638</v>
      </c>
      <c r="AC20" s="21">
        <v>4463781.0533256596</v>
      </c>
      <c r="AD20" s="21">
        <v>3839702.73770975</v>
      </c>
      <c r="AE20" s="21">
        <v>10048927.8566576</v>
      </c>
    </row>
    <row r="21" spans="1:31" x14ac:dyDescent="0.2">
      <c r="A21" s="3">
        <v>20</v>
      </c>
      <c r="B21" s="7" t="s">
        <v>138</v>
      </c>
      <c r="C21" s="8" t="s">
        <v>125</v>
      </c>
      <c r="D21" s="7" t="s">
        <v>150</v>
      </c>
      <c r="E21" s="7" t="s">
        <v>125</v>
      </c>
      <c r="F21" s="7" t="s">
        <v>85</v>
      </c>
      <c r="G21" s="7" t="s">
        <v>109</v>
      </c>
      <c r="H21" s="22">
        <v>60374.287862862599</v>
      </c>
      <c r="I21" s="22">
        <v>22748.736577687701</v>
      </c>
      <c r="J21" s="22">
        <v>31886.917482043202</v>
      </c>
      <c r="K21" s="22">
        <v>-358830.16205820401</v>
      </c>
      <c r="L21" s="22">
        <v>9961.2249634050204</v>
      </c>
      <c r="M21" s="22">
        <v>15877.368244090099</v>
      </c>
      <c r="N21" s="22">
        <v>43.3336718087062</v>
      </c>
      <c r="O21" s="22">
        <v>214.67887248435201</v>
      </c>
      <c r="P21" s="22">
        <v>400.780253580465</v>
      </c>
      <c r="Q21" s="22">
        <v>411.87765693217602</v>
      </c>
      <c r="R21" s="22">
        <v>33356.680415703901</v>
      </c>
      <c r="S21" s="22">
        <v>-6752.0971761788396</v>
      </c>
      <c r="T21" s="22">
        <v>25317.397417124899</v>
      </c>
      <c r="U21" s="22">
        <v>10334.973189370199</v>
      </c>
      <c r="V21" s="22">
        <v>11761.1304847273</v>
      </c>
      <c r="W21" s="22">
        <v>2093.69760539863</v>
      </c>
      <c r="X21" s="22">
        <v>4630.9451754837901</v>
      </c>
      <c r="Y21" s="22">
        <v>422.12407618645199</v>
      </c>
      <c r="Z21" s="22">
        <v>30799.577019716002</v>
      </c>
      <c r="AA21" s="22">
        <v>13047.595680279799</v>
      </c>
      <c r="AB21" s="22">
        <v>5859.2511616869997</v>
      </c>
      <c r="AC21" s="22">
        <v>18116.0347581487</v>
      </c>
      <c r="AD21" s="22">
        <v>14976.172288182601</v>
      </c>
      <c r="AE21" s="22">
        <v>38644.675134509598</v>
      </c>
    </row>
    <row r="22" spans="1:31" x14ac:dyDescent="0.2">
      <c r="A22" s="3">
        <v>21</v>
      </c>
      <c r="B22" s="4" t="s">
        <v>112</v>
      </c>
      <c r="C22" s="5" t="s">
        <v>125</v>
      </c>
      <c r="D22" s="4" t="s">
        <v>101</v>
      </c>
      <c r="E22" s="4" t="s">
        <v>125</v>
      </c>
      <c r="F22" s="4" t="s">
        <v>152</v>
      </c>
      <c r="G22" s="4" t="s">
        <v>109</v>
      </c>
      <c r="H22" s="21">
        <v>11338100.171964699</v>
      </c>
      <c r="I22" s="21">
        <v>2139856.0154474298</v>
      </c>
      <c r="J22" s="21">
        <v>1785032.10299413</v>
      </c>
      <c r="K22" s="21">
        <v>42735758.587107196</v>
      </c>
      <c r="L22" s="21">
        <v>12144.2008592653</v>
      </c>
      <c r="M22" s="21">
        <v>197713604.47984001</v>
      </c>
      <c r="N22" s="21">
        <v>16266.026750833</v>
      </c>
      <c r="O22" s="21">
        <v>115839.326300728</v>
      </c>
      <c r="P22" s="21">
        <v>278206.15455175599</v>
      </c>
      <c r="Q22" s="21">
        <v>1875431.3741196301</v>
      </c>
      <c r="R22" s="21">
        <v>75153.691087499101</v>
      </c>
      <c r="S22" s="21">
        <v>6213.8137957695599</v>
      </c>
      <c r="T22" s="21">
        <v>399.37647306457899</v>
      </c>
      <c r="U22" s="21">
        <v>-44222.805488767197</v>
      </c>
      <c r="V22" s="21">
        <v>8403.1132201425698</v>
      </c>
      <c r="W22" s="21">
        <v>11700.042029100699</v>
      </c>
      <c r="X22" s="21">
        <v>-1288.8662748940501</v>
      </c>
      <c r="Y22" s="21">
        <v>94.657318383433903</v>
      </c>
      <c r="Z22" s="21">
        <v>56239.041447851399</v>
      </c>
      <c r="AA22" s="21">
        <v>4971.8720548731098</v>
      </c>
      <c r="AB22" s="21">
        <v>439.34171495277701</v>
      </c>
      <c r="AC22" s="21">
        <v>2268.2275678851902</v>
      </c>
      <c r="AD22" s="21">
        <v>1998.84159270193</v>
      </c>
      <c r="AE22" s="21">
        <v>4903.7243918264503</v>
      </c>
    </row>
    <row r="23" spans="1:31" x14ac:dyDescent="0.2">
      <c r="A23" s="3">
        <v>22</v>
      </c>
      <c r="B23" s="7" t="s">
        <v>95</v>
      </c>
      <c r="C23" s="8" t="s">
        <v>125</v>
      </c>
      <c r="D23" s="7" t="s">
        <v>92</v>
      </c>
      <c r="E23" s="7" t="s">
        <v>125</v>
      </c>
      <c r="F23" s="7" t="s">
        <v>124</v>
      </c>
      <c r="G23" s="7" t="s">
        <v>109</v>
      </c>
      <c r="H23" s="22">
        <v>14289655.441517301</v>
      </c>
      <c r="I23" s="22">
        <v>13688220.436286399</v>
      </c>
      <c r="J23" s="22">
        <v>505753.82535974297</v>
      </c>
      <c r="K23" s="22">
        <v>10501651.1920828</v>
      </c>
      <c r="L23" s="22">
        <v>5767.9568506304104</v>
      </c>
      <c r="M23" s="22">
        <v>8337711.5293019703</v>
      </c>
      <c r="N23" s="22">
        <v>21361.436838075399</v>
      </c>
      <c r="O23" s="22">
        <v>151478.00159743501</v>
      </c>
      <c r="P23" s="22">
        <v>373912.642454602</v>
      </c>
      <c r="Q23" s="22">
        <v>2750175.6651299298</v>
      </c>
      <c r="R23" s="22">
        <v>10773.443789090599</v>
      </c>
      <c r="S23" s="22">
        <v>-4412.1950001680198</v>
      </c>
      <c r="T23" s="22">
        <v>-740.715345748446</v>
      </c>
      <c r="U23" s="22">
        <v>-43782.090268247302</v>
      </c>
      <c r="V23" s="22">
        <v>2882.5095739875001</v>
      </c>
      <c r="W23" s="22">
        <v>8182.3480249307204</v>
      </c>
      <c r="X23" s="22">
        <v>-2696.8337199258299</v>
      </c>
      <c r="Y23" s="22">
        <v>49.365136294377997</v>
      </c>
      <c r="Z23" s="22">
        <v>79373.836034786902</v>
      </c>
      <c r="AA23" s="22">
        <v>1855.8702488204599</v>
      </c>
      <c r="AB23" s="22">
        <v>122.66768456714399</v>
      </c>
      <c r="AC23" s="22">
        <v>794.70535294446802</v>
      </c>
      <c r="AD23" s="22">
        <v>702.69621125318702</v>
      </c>
      <c r="AE23" s="22">
        <v>1723.5124226393</v>
      </c>
    </row>
    <row r="24" spans="1:31" x14ac:dyDescent="0.2">
      <c r="A24" s="3">
        <v>23</v>
      </c>
      <c r="B24" s="4" t="s">
        <v>146</v>
      </c>
      <c r="C24" s="5" t="s">
        <v>125</v>
      </c>
      <c r="D24" s="4" t="s">
        <v>136</v>
      </c>
      <c r="E24" s="4" t="s">
        <v>125</v>
      </c>
      <c r="F24" s="4" t="s">
        <v>111</v>
      </c>
      <c r="G24" s="4" t="s">
        <v>109</v>
      </c>
      <c r="H24" s="21">
        <v>13796628.770558299</v>
      </c>
      <c r="I24" s="21">
        <v>11771666.542137399</v>
      </c>
      <c r="J24" s="21">
        <v>501636.79144423897</v>
      </c>
      <c r="K24" s="21">
        <v>9983171.75169787</v>
      </c>
      <c r="L24" s="21">
        <v>9496.4282008120499</v>
      </c>
      <c r="M24" s="21">
        <v>12199721.504106401</v>
      </c>
      <c r="N24" s="21">
        <v>20068.882559240901</v>
      </c>
      <c r="O24" s="21">
        <v>148113.511604978</v>
      </c>
      <c r="P24" s="21">
        <v>350557.339524057</v>
      </c>
      <c r="Q24" s="21">
        <v>2596395.8021934601</v>
      </c>
      <c r="R24" s="21">
        <v>10156.109812754201</v>
      </c>
      <c r="S24" s="21">
        <v>-2404.1682501949399</v>
      </c>
      <c r="T24" s="21">
        <v>-509.37080094125298</v>
      </c>
      <c r="U24" s="21">
        <v>-43962.777873233797</v>
      </c>
      <c r="V24" s="21">
        <v>2305.0277731813198</v>
      </c>
      <c r="W24" s="21">
        <v>10233.9056975652</v>
      </c>
      <c r="X24" s="21">
        <v>-1095.9401233103899</v>
      </c>
      <c r="Y24" s="21">
        <v>73.990360213189206</v>
      </c>
      <c r="Z24" s="21">
        <v>111223.96826753199</v>
      </c>
      <c r="AA24" s="21">
        <v>1003.85381540691</v>
      </c>
      <c r="AB24" s="21">
        <v>188.00193388368999</v>
      </c>
      <c r="AC24" s="21">
        <v>811.373221669435</v>
      </c>
      <c r="AD24" s="21">
        <v>722.03107044196099</v>
      </c>
      <c r="AE24" s="21">
        <v>1999.5604631993699</v>
      </c>
    </row>
    <row r="25" spans="1:31" x14ac:dyDescent="0.2">
      <c r="A25" s="3">
        <v>24</v>
      </c>
      <c r="B25" s="7" t="s">
        <v>113</v>
      </c>
      <c r="C25" s="8" t="s">
        <v>125</v>
      </c>
      <c r="D25" s="7" t="s">
        <v>133</v>
      </c>
      <c r="E25" s="7" t="s">
        <v>125</v>
      </c>
      <c r="F25" s="7" t="s">
        <v>130</v>
      </c>
      <c r="G25" s="7" t="s">
        <v>109</v>
      </c>
      <c r="H25" s="22">
        <v>49335962.205341399</v>
      </c>
      <c r="I25" s="22">
        <v>10103742.283982599</v>
      </c>
      <c r="J25" s="22">
        <v>1063592.9020370501</v>
      </c>
      <c r="K25" s="22">
        <v>9585543.2115387507</v>
      </c>
      <c r="L25" s="22">
        <v>108356.25284547701</v>
      </c>
      <c r="M25" s="22">
        <v>22910261.6323829</v>
      </c>
      <c r="N25" s="22">
        <v>25418.757913564601</v>
      </c>
      <c r="O25" s="22">
        <v>175100.59745320701</v>
      </c>
      <c r="P25" s="22">
        <v>443615.08152082801</v>
      </c>
      <c r="Q25" s="22">
        <v>3366827.3437710302</v>
      </c>
      <c r="R25" s="22">
        <v>350600.96877815097</v>
      </c>
      <c r="S25" s="22">
        <v>45194.9661430048</v>
      </c>
      <c r="T25" s="22">
        <v>-401.36447462144997</v>
      </c>
      <c r="U25" s="22">
        <v>-40467.289386973302</v>
      </c>
      <c r="V25" s="22">
        <v>9625.3026629874894</v>
      </c>
      <c r="W25" s="22">
        <v>10643.195909570601</v>
      </c>
      <c r="X25" s="22">
        <v>-7122.0474302089397</v>
      </c>
      <c r="Y25" s="22">
        <v>36.667011298811197</v>
      </c>
      <c r="Z25" s="22">
        <v>316553.89609723003</v>
      </c>
      <c r="AA25" s="22">
        <v>1081.1757571880801</v>
      </c>
      <c r="AB25" s="22">
        <v>893.36460552170001</v>
      </c>
      <c r="AC25" s="22">
        <v>2132.8701808820701</v>
      </c>
      <c r="AD25" s="22">
        <v>1709.4658094808999</v>
      </c>
      <c r="AE25" s="22">
        <v>4048.0843533234802</v>
      </c>
    </row>
    <row r="26" spans="1:31" x14ac:dyDescent="0.2">
      <c r="A26" s="3">
        <v>25</v>
      </c>
      <c r="B26" s="4" t="s">
        <v>8</v>
      </c>
      <c r="C26" s="5" t="s">
        <v>125</v>
      </c>
      <c r="D26" s="4" t="s">
        <v>135</v>
      </c>
      <c r="E26" s="4" t="s">
        <v>125</v>
      </c>
      <c r="F26" s="4" t="s">
        <v>74</v>
      </c>
      <c r="G26" s="4" t="s">
        <v>109</v>
      </c>
      <c r="H26" s="21">
        <v>12062898.0542605</v>
      </c>
      <c r="I26" s="21">
        <v>1238869.4484254201</v>
      </c>
      <c r="J26" s="21">
        <v>7612855.0132222101</v>
      </c>
      <c r="K26" s="21">
        <v>7043456.6830745498</v>
      </c>
      <c r="L26" s="21">
        <v>25830.050860060499</v>
      </c>
      <c r="M26" s="12" t="s">
        <v>24</v>
      </c>
      <c r="N26" s="21">
        <v>9893.4891238931305</v>
      </c>
      <c r="O26" s="21">
        <v>71171.967079029404</v>
      </c>
      <c r="P26" s="21">
        <v>174170.11843556</v>
      </c>
      <c r="Q26" s="21">
        <v>1136082.7989580201</v>
      </c>
      <c r="R26" s="21">
        <v>886257.35571190401</v>
      </c>
      <c r="S26" s="21">
        <v>-536.75261028796399</v>
      </c>
      <c r="T26" s="21">
        <v>586.06630163679301</v>
      </c>
      <c r="U26" s="21">
        <v>-42310.496119419302</v>
      </c>
      <c r="V26" s="21">
        <v>18611.534601005202</v>
      </c>
      <c r="W26" s="21">
        <v>60327.885674550504</v>
      </c>
      <c r="X26" s="21">
        <v>1744.3318016595899</v>
      </c>
      <c r="Y26" s="21">
        <v>69.870308744124301</v>
      </c>
      <c r="Z26" s="21">
        <v>63496.168204232599</v>
      </c>
      <c r="AA26" s="21">
        <v>1280.6430482542701</v>
      </c>
      <c r="AB26" s="21">
        <v>885.36404735917802</v>
      </c>
      <c r="AC26" s="21">
        <v>3860.6019612270002</v>
      </c>
      <c r="AD26" s="21">
        <v>3391.1289687633098</v>
      </c>
      <c r="AE26" s="21">
        <v>9054.5994119566603</v>
      </c>
    </row>
    <row r="27" spans="1:31" x14ac:dyDescent="0.2">
      <c r="A27" s="3">
        <v>26</v>
      </c>
      <c r="B27" s="7" t="s">
        <v>97</v>
      </c>
      <c r="C27" s="8" t="s">
        <v>125</v>
      </c>
      <c r="D27" s="7" t="s">
        <v>105</v>
      </c>
      <c r="E27" s="7" t="s">
        <v>125</v>
      </c>
      <c r="F27" s="7" t="s">
        <v>15</v>
      </c>
      <c r="G27" s="7" t="s">
        <v>109</v>
      </c>
      <c r="H27" s="22">
        <v>10784361.9179685</v>
      </c>
      <c r="I27" s="22">
        <v>6720020.7584405402</v>
      </c>
      <c r="J27" s="22">
        <v>8852584.9441404901</v>
      </c>
      <c r="K27" s="22">
        <v>20138338.574786399</v>
      </c>
      <c r="L27" s="22">
        <v>2480428.6925444999</v>
      </c>
      <c r="M27" s="22">
        <v>63558659.838220298</v>
      </c>
      <c r="N27" s="22">
        <v>7676.7782757042196</v>
      </c>
      <c r="O27" s="22">
        <v>27742.2790621528</v>
      </c>
      <c r="P27" s="22">
        <v>93148.248591583906</v>
      </c>
      <c r="Q27" s="22">
        <v>399753.88681449799</v>
      </c>
      <c r="R27" s="22">
        <v>9740629.0008461699</v>
      </c>
      <c r="S27" s="22">
        <v>150690.99370669501</v>
      </c>
      <c r="T27" s="22">
        <v>5799398.0777775198</v>
      </c>
      <c r="U27" s="22">
        <v>1236313.7295538301</v>
      </c>
      <c r="V27" s="22">
        <v>3314398.3333850699</v>
      </c>
      <c r="W27" s="22">
        <v>691674.59476453206</v>
      </c>
      <c r="X27" s="22">
        <v>235614.57741914701</v>
      </c>
      <c r="Y27" s="22">
        <v>85377.893061169802</v>
      </c>
      <c r="Z27" s="22">
        <v>9341838.0335973892</v>
      </c>
      <c r="AA27" s="22">
        <v>960170.60103422799</v>
      </c>
      <c r="AB27" s="22">
        <v>1478746.3493856699</v>
      </c>
      <c r="AC27" s="22">
        <v>4468917.1688861595</v>
      </c>
      <c r="AD27" s="22">
        <v>3796399.22108255</v>
      </c>
      <c r="AE27" s="22">
        <v>9081771.7949855607</v>
      </c>
    </row>
    <row r="28" spans="1:31" x14ac:dyDescent="0.2">
      <c r="A28" s="3">
        <v>27</v>
      </c>
      <c r="B28" s="4" t="s">
        <v>75</v>
      </c>
      <c r="C28" s="5" t="s">
        <v>125</v>
      </c>
      <c r="D28" s="4" t="s">
        <v>70</v>
      </c>
      <c r="E28" s="4" t="s">
        <v>125</v>
      </c>
      <c r="F28" s="4" t="s">
        <v>7</v>
      </c>
      <c r="G28" s="4" t="s">
        <v>109</v>
      </c>
      <c r="H28" s="21">
        <v>45281.033237460302</v>
      </c>
      <c r="I28" s="21">
        <v>20592.523811020801</v>
      </c>
      <c r="J28" s="21">
        <v>31624.200452085701</v>
      </c>
      <c r="K28" s="21">
        <v>263040.59506215702</v>
      </c>
      <c r="L28" s="21">
        <v>8364.4734550079302</v>
      </c>
      <c r="M28" s="21">
        <v>744997.88621029397</v>
      </c>
      <c r="N28" s="21">
        <v>48.000385095722898</v>
      </c>
      <c r="O28" s="21">
        <v>182.01018893077301</v>
      </c>
      <c r="P28" s="21">
        <v>667.527884557329</v>
      </c>
      <c r="Q28" s="21">
        <v>1650.9572766901399</v>
      </c>
      <c r="R28" s="21">
        <v>29984.823303237601</v>
      </c>
      <c r="S28" s="21">
        <v>-4110.1187632548399</v>
      </c>
      <c r="T28" s="21">
        <v>22934.659122119301</v>
      </c>
      <c r="U28" s="21">
        <v>4284.9769005010503</v>
      </c>
      <c r="V28" s="21">
        <v>9814.8302747673206</v>
      </c>
      <c r="W28" s="21">
        <v>1727.3678491144001</v>
      </c>
      <c r="X28" s="21">
        <v>3876.5612594791</v>
      </c>
      <c r="Y28" s="21">
        <v>410.019775217779</v>
      </c>
      <c r="Z28" s="21">
        <v>27163.822354604399</v>
      </c>
      <c r="AA28" s="21">
        <v>11417.5785938689</v>
      </c>
      <c r="AB28" s="21">
        <v>5559.7808466520501</v>
      </c>
      <c r="AC28" s="21">
        <v>16776.343875791899</v>
      </c>
      <c r="AD28" s="21">
        <v>14314.7891681528</v>
      </c>
      <c r="AE28" s="21">
        <v>37759.186951072399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E27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67</v>
      </c>
      <c r="B1" s="1" t="s">
        <v>131</v>
      </c>
      <c r="C1" s="1" t="s">
        <v>99</v>
      </c>
      <c r="D1" s="1" t="s">
        <v>42</v>
      </c>
      <c r="E1" s="1" t="s">
        <v>55</v>
      </c>
      <c r="F1" s="1" t="s">
        <v>77</v>
      </c>
      <c r="G1" s="1" t="s">
        <v>127</v>
      </c>
      <c r="H1" s="1" t="s">
        <v>88</v>
      </c>
      <c r="I1" s="1" t="s">
        <v>30</v>
      </c>
      <c r="J1" s="1" t="s">
        <v>93</v>
      </c>
      <c r="K1" s="1" t="s">
        <v>57</v>
      </c>
      <c r="L1" s="1" t="s">
        <v>0</v>
      </c>
      <c r="M1" s="1" t="s">
        <v>33</v>
      </c>
      <c r="N1" s="2" t="s">
        <v>62</v>
      </c>
      <c r="O1" s="1" t="s">
        <v>153</v>
      </c>
      <c r="P1" s="2" t="s">
        <v>21</v>
      </c>
      <c r="Q1" s="1" t="s">
        <v>114</v>
      </c>
      <c r="R1" s="1" t="s">
        <v>106</v>
      </c>
      <c r="S1" s="1" t="s">
        <v>54</v>
      </c>
      <c r="T1" s="1" t="s">
        <v>10</v>
      </c>
      <c r="U1" s="1" t="s">
        <v>63</v>
      </c>
      <c r="V1" s="1" t="s">
        <v>147</v>
      </c>
      <c r="W1" s="1" t="s">
        <v>154</v>
      </c>
      <c r="X1" s="1" t="s">
        <v>46</v>
      </c>
      <c r="Y1" s="1" t="s">
        <v>132</v>
      </c>
      <c r="Z1" s="1" t="s">
        <v>121</v>
      </c>
      <c r="AA1" s="1" t="s">
        <v>91</v>
      </c>
      <c r="AB1" s="1" t="s">
        <v>38</v>
      </c>
      <c r="AC1" s="1" t="s">
        <v>61</v>
      </c>
      <c r="AD1" s="1" t="s">
        <v>148</v>
      </c>
      <c r="AE1" s="1" t="s">
        <v>137</v>
      </c>
    </row>
    <row r="2" spans="1:31" x14ac:dyDescent="0.2">
      <c r="A2" s="13">
        <v>1</v>
      </c>
      <c r="B2" s="14" t="s">
        <v>14</v>
      </c>
      <c r="C2" s="15" t="s">
        <v>125</v>
      </c>
      <c r="D2" s="14" t="s">
        <v>100</v>
      </c>
      <c r="E2" s="14" t="s">
        <v>125</v>
      </c>
      <c r="F2" s="14" t="s">
        <v>110</v>
      </c>
      <c r="G2" s="14" t="s">
        <v>109</v>
      </c>
      <c r="H2" s="16">
        <v>3.18085378445827E-2</v>
      </c>
      <c r="I2" s="16">
        <v>6.1986789235337902E-2</v>
      </c>
      <c r="J2" s="16">
        <v>3.8054768602685002E-2</v>
      </c>
      <c r="K2" s="16">
        <v>4.3093061294140998E-2</v>
      </c>
      <c r="L2" s="16">
        <v>5.1186648894179197E-2</v>
      </c>
      <c r="M2" s="16">
        <v>4.1757966700915698E-3</v>
      </c>
      <c r="N2" s="16">
        <v>0.101885379379221</v>
      </c>
      <c r="O2" s="16">
        <v>0.114046690965849</v>
      </c>
      <c r="P2" s="16">
        <v>3.65132881221545E-2</v>
      </c>
      <c r="Q2" s="16">
        <v>2.0735827029628898E-2</v>
      </c>
      <c r="R2" s="16">
        <v>6.3600927461363699E-2</v>
      </c>
      <c r="S2" s="16">
        <v>2.2538139592690899E-2</v>
      </c>
      <c r="T2" s="16">
        <v>0.19184576870579401</v>
      </c>
      <c r="U2" s="16">
        <v>0.29561457383900303</v>
      </c>
      <c r="V2" s="16">
        <v>4.0864462383582899E-2</v>
      </c>
      <c r="W2" s="16">
        <v>3.5547998759178599E-2</v>
      </c>
      <c r="X2" s="16">
        <v>2.0706138291289498E-2</v>
      </c>
      <c r="Y2" s="16">
        <v>0.62730193894429898</v>
      </c>
      <c r="Z2" s="16">
        <v>6.3865468638137607E-2</v>
      </c>
      <c r="AA2" s="16">
        <v>7.09392538390856E-2</v>
      </c>
      <c r="AB2" s="16">
        <v>0.45069425848995598</v>
      </c>
      <c r="AC2" s="16">
        <v>0.12786999524184101</v>
      </c>
      <c r="AD2" s="16">
        <v>2.64436058053177E-2</v>
      </c>
      <c r="AE2" s="16">
        <v>4.03604735056321E-2</v>
      </c>
    </row>
    <row r="3" spans="1:31" x14ac:dyDescent="0.2">
      <c r="A3" s="13">
        <v>2</v>
      </c>
      <c r="B3" s="17" t="s">
        <v>14</v>
      </c>
      <c r="C3" s="18" t="s">
        <v>125</v>
      </c>
      <c r="D3" s="17" t="s">
        <v>96</v>
      </c>
      <c r="E3" s="17" t="s">
        <v>125</v>
      </c>
      <c r="F3" s="17" t="s">
        <v>27</v>
      </c>
      <c r="G3" s="17" t="s">
        <v>109</v>
      </c>
      <c r="H3" s="19">
        <v>2.1642885971788799E-2</v>
      </c>
      <c r="I3" s="19">
        <v>0.126532758375449</v>
      </c>
      <c r="J3" s="19">
        <v>5.7892346682679598E-2</v>
      </c>
      <c r="K3" s="19">
        <v>1.49010486057884E-2</v>
      </c>
      <c r="L3" s="19">
        <v>8.9318543570219996E-2</v>
      </c>
      <c r="M3" s="19">
        <v>1.06384240782207E-2</v>
      </c>
      <c r="N3" s="19">
        <v>0.203770771344291</v>
      </c>
      <c r="O3" s="19">
        <v>9.4249132758085899E-2</v>
      </c>
      <c r="P3" s="19">
        <v>2.94442804551623E-2</v>
      </c>
      <c r="Q3" s="19">
        <v>2.9370724250201801E-2</v>
      </c>
      <c r="R3" s="19">
        <v>3.5212082442656598E-2</v>
      </c>
      <c r="S3" s="19">
        <v>9.0171088160676399E-2</v>
      </c>
      <c r="T3" s="19">
        <v>8.9432380454774002E-2</v>
      </c>
      <c r="U3" s="19">
        <v>0.19843194293117</v>
      </c>
      <c r="V3" s="19">
        <v>6.1484993220631098E-2</v>
      </c>
      <c r="W3" s="19">
        <v>4.0482285368087803E-2</v>
      </c>
      <c r="X3" s="19">
        <v>6.1360322502720097E-2</v>
      </c>
      <c r="Y3" s="19">
        <v>0.20688136825032899</v>
      </c>
      <c r="Z3" s="19">
        <v>0.14248759963437399</v>
      </c>
      <c r="AA3" s="19">
        <v>0.146095519696436</v>
      </c>
      <c r="AB3" s="19">
        <v>0.37449769508716702</v>
      </c>
      <c r="AC3" s="19">
        <v>6.4533322769865897E-2</v>
      </c>
      <c r="AD3" s="19">
        <v>1.4555088872396401E-2</v>
      </c>
      <c r="AE3" s="19">
        <v>5.0395641919930803E-2</v>
      </c>
    </row>
    <row r="4" spans="1:31" x14ac:dyDescent="0.2">
      <c r="A4" s="13">
        <v>3</v>
      </c>
      <c r="B4" s="14" t="s">
        <v>14</v>
      </c>
      <c r="C4" s="15" t="s">
        <v>125</v>
      </c>
      <c r="D4" s="14" t="s">
        <v>103</v>
      </c>
      <c r="E4" s="14" t="s">
        <v>125</v>
      </c>
      <c r="F4" s="14" t="s">
        <v>120</v>
      </c>
      <c r="G4" s="14" t="s">
        <v>109</v>
      </c>
      <c r="H4" s="16">
        <v>1.22385266115589E-2</v>
      </c>
      <c r="I4" s="16">
        <v>5.0254900957014598E-2</v>
      </c>
      <c r="J4" s="16">
        <v>0.211647357631708</v>
      </c>
      <c r="K4" s="16">
        <v>4.3502758094266999E-2</v>
      </c>
      <c r="L4" s="16">
        <v>5.6459616453933402E-2</v>
      </c>
      <c r="M4" s="16">
        <v>7.2058284635548404E-3</v>
      </c>
      <c r="N4" s="16">
        <v>0.24118830529104099</v>
      </c>
      <c r="O4" s="16">
        <v>0.12747343965284899</v>
      </c>
      <c r="P4" s="16">
        <v>8.0895163727161892E-3</v>
      </c>
      <c r="Q4" s="16">
        <v>3.20112723958364E-3</v>
      </c>
      <c r="R4" s="16">
        <v>7.07601194809169E-2</v>
      </c>
      <c r="S4" s="16">
        <v>2.1586261791291299E-2</v>
      </c>
      <c r="T4" s="16">
        <v>9.7873149043530505E-2</v>
      </c>
      <c r="U4" s="16">
        <v>4.4128848562885403E-2</v>
      </c>
      <c r="V4" s="16">
        <v>7.0851661241003297E-2</v>
      </c>
      <c r="W4" s="16">
        <v>4.5477511667966597E-2</v>
      </c>
      <c r="X4" s="16">
        <v>1.9788973005759498E-2</v>
      </c>
      <c r="Y4" s="16">
        <v>0.16067381472994699</v>
      </c>
      <c r="Z4" s="16">
        <v>5.77352769512023E-2</v>
      </c>
      <c r="AA4" s="16">
        <v>6.4087327321774606E-2</v>
      </c>
      <c r="AB4" s="16">
        <v>0.50000029166686799</v>
      </c>
      <c r="AC4" s="16">
        <v>8.8499233823923898E-2</v>
      </c>
      <c r="AD4" s="16">
        <v>0.268293415978683</v>
      </c>
      <c r="AE4" s="16">
        <v>0.149332953912791</v>
      </c>
    </row>
    <row r="5" spans="1:31" x14ac:dyDescent="0.2">
      <c r="A5" s="13">
        <v>4</v>
      </c>
      <c r="B5" s="17" t="s">
        <v>14</v>
      </c>
      <c r="C5" s="18" t="s">
        <v>125</v>
      </c>
      <c r="D5" s="17" t="s">
        <v>151</v>
      </c>
      <c r="E5" s="17" t="s">
        <v>125</v>
      </c>
      <c r="F5" s="17" t="s">
        <v>76</v>
      </c>
      <c r="G5" s="17" t="s">
        <v>109</v>
      </c>
      <c r="H5" s="19">
        <v>5.2313514177814498E-2</v>
      </c>
      <c r="I5" s="19">
        <v>1.33204470670042E-2</v>
      </c>
      <c r="J5" s="19">
        <v>4.4688760414702697E-2</v>
      </c>
      <c r="K5" s="19">
        <v>2.51293849612115E-2</v>
      </c>
      <c r="L5" s="19">
        <v>9.09382225077221E-2</v>
      </c>
      <c r="M5" s="19">
        <v>6.9884674549682002E-3</v>
      </c>
      <c r="N5" s="19">
        <v>0.23514544603051801</v>
      </c>
      <c r="O5" s="19">
        <v>5.0502318713443697E-2</v>
      </c>
      <c r="P5" s="19">
        <v>1.6045638435232601E-2</v>
      </c>
      <c r="Q5" s="19">
        <v>2.2090327359920101E-2</v>
      </c>
      <c r="R5" s="19">
        <v>4.8290830760480498E-2</v>
      </c>
      <c r="S5" s="19">
        <v>8.8040474783197306E-2</v>
      </c>
      <c r="T5" s="19">
        <v>4.2938900972825697E-2</v>
      </c>
      <c r="U5" s="19">
        <v>7.99824955130677E-2</v>
      </c>
      <c r="V5" s="19">
        <v>2.4154861025991001E-2</v>
      </c>
      <c r="W5" s="19">
        <v>4.2972879312957998E-2</v>
      </c>
      <c r="X5" s="19">
        <v>5.6819985009758503E-2</v>
      </c>
      <c r="Y5" s="19">
        <v>0.77370913089346804</v>
      </c>
      <c r="Z5" s="19">
        <v>8.5591861833506394E-2</v>
      </c>
      <c r="AA5" s="19">
        <v>1.6678159265852199E-2</v>
      </c>
      <c r="AB5" s="19">
        <v>0.15347315989403201</v>
      </c>
      <c r="AC5" s="19">
        <v>0.10209372939802699</v>
      </c>
      <c r="AD5" s="19">
        <v>0.13573416194464799</v>
      </c>
      <c r="AE5" s="19">
        <v>9.0926586941271995E-2</v>
      </c>
    </row>
    <row r="6" spans="1:31" x14ac:dyDescent="0.2">
      <c r="A6" s="13">
        <v>5</v>
      </c>
      <c r="B6" s="14" t="s">
        <v>37</v>
      </c>
      <c r="C6" s="15" t="s">
        <v>125</v>
      </c>
      <c r="D6" s="14" t="s">
        <v>5</v>
      </c>
      <c r="E6" s="14" t="s">
        <v>125</v>
      </c>
      <c r="F6" s="14" t="s">
        <v>16</v>
      </c>
      <c r="G6" s="14" t="s">
        <v>109</v>
      </c>
      <c r="H6" s="16">
        <v>3.3103738400669498E-2</v>
      </c>
      <c r="I6" s="16">
        <v>4.1280626360219203E-2</v>
      </c>
      <c r="J6" s="16">
        <v>1.6556821681552401E-2</v>
      </c>
      <c r="K6" s="16">
        <v>1.97052059417845</v>
      </c>
      <c r="L6" s="16">
        <v>7.4323161665597798E-2</v>
      </c>
      <c r="M6" s="16">
        <v>4.6005282430975798E-2</v>
      </c>
      <c r="N6" s="16">
        <v>0.12643755134501999</v>
      </c>
      <c r="O6" s="16">
        <v>4.7215743814693102E-2</v>
      </c>
      <c r="P6" s="16">
        <v>1.6854861125992299E-2</v>
      </c>
      <c r="Q6" s="16">
        <v>7.4047695492498802E-2</v>
      </c>
      <c r="R6" s="16">
        <v>6.1575779502869597E-2</v>
      </c>
      <c r="S6" s="16">
        <v>0.132534929954223</v>
      </c>
      <c r="T6" s="16">
        <v>8.0721531046310302E-2</v>
      </c>
      <c r="U6" s="16">
        <v>0.19014442431412101</v>
      </c>
      <c r="V6" s="16">
        <v>5.6307735191094103E-2</v>
      </c>
      <c r="W6" s="16">
        <v>7.0487314369323401E-2</v>
      </c>
      <c r="X6" s="16">
        <v>0.15098846592337101</v>
      </c>
      <c r="Y6" s="16">
        <v>0.105877653973804</v>
      </c>
      <c r="Z6" s="16">
        <v>3.7826436805454597E-2</v>
      </c>
      <c r="AA6" s="16">
        <v>2.35490085342802E-2</v>
      </c>
      <c r="AB6" s="16">
        <v>5.3049778537808102E-2</v>
      </c>
      <c r="AC6" s="16">
        <v>2.2798023671911301E-2</v>
      </c>
      <c r="AD6" s="16">
        <v>4.7882585401517901E-2</v>
      </c>
      <c r="AE6" s="16">
        <v>6.92261976029268E-3</v>
      </c>
    </row>
    <row r="7" spans="1:31" x14ac:dyDescent="0.2">
      <c r="A7" s="13">
        <v>6</v>
      </c>
      <c r="B7" s="17" t="s">
        <v>50</v>
      </c>
      <c r="C7" s="18" t="s">
        <v>125</v>
      </c>
      <c r="D7" s="17" t="s">
        <v>34</v>
      </c>
      <c r="E7" s="17" t="s">
        <v>125</v>
      </c>
      <c r="F7" s="17" t="s">
        <v>142</v>
      </c>
      <c r="G7" s="17" t="s">
        <v>109</v>
      </c>
      <c r="H7" s="19">
        <v>1.8064323972870899E-2</v>
      </c>
      <c r="I7" s="19">
        <v>4.1600602781647303E-2</v>
      </c>
      <c r="J7" s="19">
        <v>2.3145001163246699E-2</v>
      </c>
      <c r="K7" s="19">
        <v>0.305396505167502</v>
      </c>
      <c r="L7" s="19">
        <v>6.1935214183597799E-2</v>
      </c>
      <c r="M7" s="19">
        <v>3.2559257286562802E-2</v>
      </c>
      <c r="N7" s="19">
        <v>5.17486494225688E-2</v>
      </c>
      <c r="O7" s="19">
        <v>5.0154700043279203E-2</v>
      </c>
      <c r="P7" s="19">
        <v>1.8983049659120298E-2</v>
      </c>
      <c r="Q7" s="19">
        <v>5.6919848504067103E-2</v>
      </c>
      <c r="R7" s="19">
        <v>6.0779918129728598E-2</v>
      </c>
      <c r="S7" s="19">
        <v>1.4411984649886999E-2</v>
      </c>
      <c r="T7" s="19">
        <v>9.9218577697106597E-2</v>
      </c>
      <c r="U7" s="19">
        <v>0.13309384550888401</v>
      </c>
      <c r="V7" s="19">
        <v>6.1310370944723198E-2</v>
      </c>
      <c r="W7" s="19">
        <v>7.5759931388696897E-2</v>
      </c>
      <c r="X7" s="19">
        <v>5.1913795834675203E-2</v>
      </c>
      <c r="Y7" s="19">
        <v>7.8107854491184903E-2</v>
      </c>
      <c r="Z7" s="19">
        <v>5.3396207898496202E-2</v>
      </c>
      <c r="AA7" s="19">
        <v>1.93528238789498E-2</v>
      </c>
      <c r="AB7" s="19">
        <v>5.7956690977736397E-2</v>
      </c>
      <c r="AC7" s="19">
        <v>1.15867766478857E-2</v>
      </c>
      <c r="AD7" s="19">
        <v>3.2696711169161799E-2</v>
      </c>
      <c r="AE7" s="19">
        <v>1.32469313126416E-2</v>
      </c>
    </row>
    <row r="8" spans="1:31" x14ac:dyDescent="0.2">
      <c r="A8" s="13">
        <v>7</v>
      </c>
      <c r="B8" s="14" t="s">
        <v>41</v>
      </c>
      <c r="C8" s="15" t="s">
        <v>125</v>
      </c>
      <c r="D8" s="14" t="s">
        <v>60</v>
      </c>
      <c r="E8" s="14" t="s">
        <v>125</v>
      </c>
      <c r="F8" s="14" t="s">
        <v>126</v>
      </c>
      <c r="G8" s="14" t="s">
        <v>109</v>
      </c>
      <c r="H8" s="16">
        <v>1.85665255266508E-2</v>
      </c>
      <c r="I8" s="16">
        <v>4.0513900909803502E-2</v>
      </c>
      <c r="J8" s="16">
        <v>2.3838402825209E-2</v>
      </c>
      <c r="K8" s="16">
        <v>6.1633365722734E-2</v>
      </c>
      <c r="L8" s="16">
        <v>3.7001172527510597E-2</v>
      </c>
      <c r="M8" s="16">
        <v>3.9711730088625302E-2</v>
      </c>
      <c r="N8" s="16">
        <v>1.48351844247548E-2</v>
      </c>
      <c r="O8" s="16">
        <v>4.4028371919807102E-2</v>
      </c>
      <c r="P8" s="16">
        <v>2.7061751531370099E-2</v>
      </c>
      <c r="Q8" s="16">
        <v>4.7768148930976598E-2</v>
      </c>
      <c r="R8" s="16">
        <v>5.3671055234771198E-2</v>
      </c>
      <c r="S8" s="16">
        <v>2.0227424167252799E-2</v>
      </c>
      <c r="T8" s="16">
        <v>8.7556228845436901E-2</v>
      </c>
      <c r="U8" s="16">
        <v>7.2320413002616504E-2</v>
      </c>
      <c r="V8" s="16">
        <v>5.7447901154286302E-2</v>
      </c>
      <c r="W8" s="16">
        <v>6.6777467332000906E-2</v>
      </c>
      <c r="X8" s="16">
        <v>4.5147153007836699E-2</v>
      </c>
      <c r="Y8" s="16">
        <v>7.49408877606908E-2</v>
      </c>
      <c r="Z8" s="16">
        <v>0.115562253257381</v>
      </c>
      <c r="AA8" s="16">
        <v>2.7301287690037299E-2</v>
      </c>
      <c r="AB8" s="16">
        <v>4.02489340885488E-2</v>
      </c>
      <c r="AC8" s="16">
        <v>3.1084163161003101E-2</v>
      </c>
      <c r="AD8" s="16">
        <v>6.2639154798673102E-2</v>
      </c>
      <c r="AE8" s="16">
        <v>1.85176450754687E-2</v>
      </c>
    </row>
    <row r="9" spans="1:31" x14ac:dyDescent="0.2">
      <c r="A9" s="13">
        <v>8</v>
      </c>
      <c r="B9" s="17" t="s">
        <v>98</v>
      </c>
      <c r="C9" s="18" t="s">
        <v>125</v>
      </c>
      <c r="D9" s="17" t="s">
        <v>86</v>
      </c>
      <c r="E9" s="17" t="s">
        <v>125</v>
      </c>
      <c r="F9" s="17" t="s">
        <v>94</v>
      </c>
      <c r="G9" s="17" t="s">
        <v>109</v>
      </c>
      <c r="H9" s="19">
        <v>2.8962640057216899E-2</v>
      </c>
      <c r="I9" s="19">
        <v>3.3589423586719E-2</v>
      </c>
      <c r="J9" s="19">
        <v>6.00151697813621E-2</v>
      </c>
      <c r="K9" s="19">
        <v>1.8621970265357599E-2</v>
      </c>
      <c r="L9" s="19">
        <v>5.1266290358419501E-2</v>
      </c>
      <c r="M9" s="19">
        <v>4.2804176230217199E-2</v>
      </c>
      <c r="N9" s="19">
        <v>3.5364004616482599E-2</v>
      </c>
      <c r="O9" s="19">
        <v>3.2772805555946402E-2</v>
      </c>
      <c r="P9" s="19">
        <v>2.7756783076591102E-2</v>
      </c>
      <c r="Q9" s="19">
        <v>4.4052330184782697E-2</v>
      </c>
      <c r="R9" s="19">
        <v>6.3980538807342599E-2</v>
      </c>
      <c r="S9" s="19">
        <v>0.10129968001829701</v>
      </c>
      <c r="T9" s="19">
        <v>2.38591089602447E-2</v>
      </c>
      <c r="U9" s="19">
        <v>9.5142434983486096E-2</v>
      </c>
      <c r="V9" s="19">
        <v>4.9110278648366999E-2</v>
      </c>
      <c r="W9" s="19">
        <v>6.4822327306223296E-2</v>
      </c>
      <c r="X9" s="19">
        <v>7.8842884844416802E-2</v>
      </c>
      <c r="Y9" s="19">
        <v>3.33753668140968E-2</v>
      </c>
      <c r="Z9" s="19">
        <v>2.6946789617420499E-2</v>
      </c>
      <c r="AA9" s="19">
        <v>5.4879629078717101E-2</v>
      </c>
      <c r="AB9" s="19">
        <v>4.8375126976026597E-2</v>
      </c>
      <c r="AC9" s="19">
        <v>2.1293926164523001E-2</v>
      </c>
      <c r="AD9" s="19">
        <v>3.6940388552813702E-2</v>
      </c>
      <c r="AE9" s="19">
        <v>5.4136174109639001E-2</v>
      </c>
    </row>
    <row r="10" spans="1:31" x14ac:dyDescent="0.2">
      <c r="A10" s="13">
        <v>9</v>
      </c>
      <c r="B10" s="14" t="s">
        <v>3</v>
      </c>
      <c r="C10" s="15" t="s">
        <v>125</v>
      </c>
      <c r="D10" s="14" t="s">
        <v>35</v>
      </c>
      <c r="E10" s="14" t="s">
        <v>125</v>
      </c>
      <c r="F10" s="14" t="s">
        <v>71</v>
      </c>
      <c r="G10" s="14" t="s">
        <v>109</v>
      </c>
      <c r="H10" s="16">
        <v>1.4673104312420899E-2</v>
      </c>
      <c r="I10" s="16">
        <v>4.2451356731114297E-2</v>
      </c>
      <c r="J10" s="16">
        <v>2.6670426883760801E-2</v>
      </c>
      <c r="K10" s="16">
        <v>3.0634459643556201E-2</v>
      </c>
      <c r="L10" s="16">
        <v>5.7605839302500197E-2</v>
      </c>
      <c r="M10" s="16">
        <v>3.24317479078974E-2</v>
      </c>
      <c r="N10" s="16">
        <v>2.4500975859077199E-2</v>
      </c>
      <c r="O10" s="16">
        <v>5.2115059947901499E-2</v>
      </c>
      <c r="P10" s="16">
        <v>1.1873884206656599E-2</v>
      </c>
      <c r="Q10" s="16">
        <v>5.5677209857637799E-2</v>
      </c>
      <c r="R10" s="16">
        <v>7.2976428454762293E-2</v>
      </c>
      <c r="S10" s="16">
        <v>3.1573980372510801E-2</v>
      </c>
      <c r="T10" s="16">
        <v>6.6195458198100507E-2</v>
      </c>
      <c r="U10" s="16">
        <v>8.7898027066006204E-2</v>
      </c>
      <c r="V10" s="16">
        <v>4.8616358103539599E-2</v>
      </c>
      <c r="W10" s="16">
        <v>7.2956520065751804E-2</v>
      </c>
      <c r="X10" s="16">
        <v>1.6013593819798E-2</v>
      </c>
      <c r="Y10" s="16">
        <v>5.7737004359216103E-2</v>
      </c>
      <c r="Z10" s="16">
        <v>3.34021626694515E-2</v>
      </c>
      <c r="AA10" s="16">
        <v>3.2030412929247201E-2</v>
      </c>
      <c r="AB10" s="16">
        <v>4.9979263151112202E-2</v>
      </c>
      <c r="AC10" s="16">
        <v>9.5452410862163408E-3</v>
      </c>
      <c r="AD10" s="16">
        <v>3.8753395739594403E-2</v>
      </c>
      <c r="AE10" s="16">
        <v>1.94997252482405E-2</v>
      </c>
    </row>
    <row r="11" spans="1:31" x14ac:dyDescent="0.2">
      <c r="A11" s="13">
        <v>10</v>
      </c>
      <c r="B11" s="17" t="s">
        <v>84</v>
      </c>
      <c r="C11" s="18" t="s">
        <v>125</v>
      </c>
      <c r="D11" s="17" t="s">
        <v>155</v>
      </c>
      <c r="E11" s="17" t="s">
        <v>125</v>
      </c>
      <c r="F11" s="17" t="s">
        <v>145</v>
      </c>
      <c r="G11" s="17" t="s">
        <v>109</v>
      </c>
      <c r="H11" s="19">
        <v>1.1946609965073201E-2</v>
      </c>
      <c r="I11" s="19">
        <v>2.4307244314750301E-2</v>
      </c>
      <c r="J11" s="19">
        <v>2.4389076677844498E-2</v>
      </c>
      <c r="K11" s="19">
        <v>4.2565720677358899E-2</v>
      </c>
      <c r="L11" s="19">
        <v>5.6339191777554802E-2</v>
      </c>
      <c r="M11" s="19">
        <v>2.2319166159265401E-2</v>
      </c>
      <c r="N11" s="19">
        <v>1.00196128827027E-2</v>
      </c>
      <c r="O11" s="19">
        <v>4.4100320559273598E-2</v>
      </c>
      <c r="P11" s="19">
        <v>1.62536981920063E-2</v>
      </c>
      <c r="Q11" s="19">
        <v>5.5804601173081898E-2</v>
      </c>
      <c r="R11" s="19">
        <v>5.67998963103927E-2</v>
      </c>
      <c r="S11" s="19">
        <v>1.9829038720716199E-2</v>
      </c>
      <c r="T11" s="19">
        <v>6.9746034775432397E-2</v>
      </c>
      <c r="U11" s="19">
        <v>7.4220580844984202E-2</v>
      </c>
      <c r="V11" s="19">
        <v>4.40145062259878E-2</v>
      </c>
      <c r="W11" s="19">
        <v>6.6325102040906997E-2</v>
      </c>
      <c r="X11" s="19">
        <v>2.2089682108035399E-2</v>
      </c>
      <c r="Y11" s="19">
        <v>6.6395506201159998E-2</v>
      </c>
      <c r="Z11" s="19">
        <v>3.1075499605300001E-2</v>
      </c>
      <c r="AA11" s="19">
        <v>1.0952833260163599E-2</v>
      </c>
      <c r="AB11" s="19">
        <v>4.0613180836253898E-2</v>
      </c>
      <c r="AC11" s="19">
        <v>1.3837828544564499E-2</v>
      </c>
      <c r="AD11" s="19">
        <v>3.7174108575750597E-2</v>
      </c>
      <c r="AE11" s="19">
        <v>9.3590656216774003E-3</v>
      </c>
    </row>
    <row r="12" spans="1:31" x14ac:dyDescent="0.2">
      <c r="A12" s="13">
        <v>12</v>
      </c>
      <c r="B12" s="17" t="s">
        <v>52</v>
      </c>
      <c r="C12" s="18" t="s">
        <v>125</v>
      </c>
      <c r="D12" s="17" t="s">
        <v>53</v>
      </c>
      <c r="E12" s="17" t="s">
        <v>125</v>
      </c>
      <c r="F12" s="17" t="s">
        <v>129</v>
      </c>
      <c r="G12" s="17" t="s">
        <v>109</v>
      </c>
      <c r="H12" s="19">
        <v>0.10258378988189799</v>
      </c>
      <c r="I12" s="19">
        <v>0.15286720481968699</v>
      </c>
      <c r="J12" s="19">
        <v>0.14900262080794599</v>
      </c>
      <c r="K12" s="19">
        <v>0.75964234276796605</v>
      </c>
      <c r="L12" s="19">
        <v>9.7259669707509003E-2</v>
      </c>
      <c r="M12" s="19">
        <v>0.133078603981026</v>
      </c>
      <c r="N12" s="19">
        <v>0.15741870429458299</v>
      </c>
      <c r="O12" s="19">
        <v>3.9800816664935602E-2</v>
      </c>
      <c r="P12" s="19">
        <v>0.16618640925953801</v>
      </c>
      <c r="Q12" s="19">
        <v>0.11151170112643501</v>
      </c>
      <c r="R12" s="19">
        <v>0.13962687552077099</v>
      </c>
      <c r="S12" s="19">
        <v>3.7429794221538302</v>
      </c>
      <c r="T12" s="19">
        <v>2.5344356290132399E-2</v>
      </c>
      <c r="U12" s="19">
        <v>9.7058394546119697E-2</v>
      </c>
      <c r="V12" s="19">
        <v>6.7819912178090302E-2</v>
      </c>
      <c r="W12" s="19">
        <v>0.11310127338411</v>
      </c>
      <c r="X12" s="19">
        <v>0.33749312952095301</v>
      </c>
      <c r="Y12" s="19">
        <v>1.5351326534511199E-2</v>
      </c>
      <c r="Z12" s="19">
        <v>8.2993277571254798E-2</v>
      </c>
      <c r="AA12" s="19">
        <v>0.11013881290067</v>
      </c>
      <c r="AB12" s="19">
        <v>8.3158349885215296E-2</v>
      </c>
      <c r="AC12" s="19">
        <v>9.6054872354863902E-2</v>
      </c>
      <c r="AD12" s="19">
        <v>0.102845233830727</v>
      </c>
      <c r="AE12" s="19">
        <v>9.1903179458685702E-2</v>
      </c>
    </row>
    <row r="13" spans="1:31" x14ac:dyDescent="0.2">
      <c r="A13" s="13">
        <v>13</v>
      </c>
      <c r="B13" s="14" t="s">
        <v>78</v>
      </c>
      <c r="C13" s="15" t="s">
        <v>125</v>
      </c>
      <c r="D13" s="14" t="s">
        <v>6</v>
      </c>
      <c r="E13" s="14" t="s">
        <v>125</v>
      </c>
      <c r="F13" s="14" t="s">
        <v>4</v>
      </c>
      <c r="G13" s="14" t="s">
        <v>109</v>
      </c>
      <c r="H13" s="16">
        <v>1.04174676996804E-2</v>
      </c>
      <c r="I13" s="16">
        <v>0.51208547938369298</v>
      </c>
      <c r="J13" s="16">
        <v>1.14347434080457E-2</v>
      </c>
      <c r="K13" s="16">
        <v>2.88487236851573</v>
      </c>
      <c r="L13" s="16">
        <v>0.170330873564908</v>
      </c>
      <c r="M13" s="16">
        <v>0.44047021601307301</v>
      </c>
      <c r="N13" s="16">
        <v>0.25111943699639999</v>
      </c>
      <c r="O13" s="16">
        <v>2.2396617893031701E-2</v>
      </c>
      <c r="P13" s="16">
        <v>0.15342919776963301</v>
      </c>
      <c r="Q13" s="16">
        <v>0.102160890283978</v>
      </c>
      <c r="R13" s="16">
        <v>6.0403332145545198E-2</v>
      </c>
      <c r="S13" s="16">
        <v>0.30043607733816602</v>
      </c>
      <c r="T13" s="16">
        <v>6.9729880979910203E-2</v>
      </c>
      <c r="U13" s="16">
        <v>2.3063630254882002E-3</v>
      </c>
      <c r="V13" s="16">
        <v>3.5923155284006698E-2</v>
      </c>
      <c r="W13" s="16">
        <v>0.45216275119392002</v>
      </c>
      <c r="X13" s="16">
        <v>0.96370176681319797</v>
      </c>
      <c r="Y13" s="16">
        <v>4.0256937839814197E-2</v>
      </c>
      <c r="Z13" s="16">
        <v>0.10726856237662</v>
      </c>
      <c r="AA13" s="16">
        <v>6.5315434684717899E-2</v>
      </c>
      <c r="AB13" s="16">
        <v>6.6680919522217497E-2</v>
      </c>
      <c r="AC13" s="16">
        <v>8.0867238076128903E-2</v>
      </c>
      <c r="AD13" s="16">
        <v>0.117044952779459</v>
      </c>
      <c r="AE13" s="16">
        <v>9.9792305645734103E-2</v>
      </c>
    </row>
    <row r="14" spans="1:31" x14ac:dyDescent="0.2">
      <c r="A14" s="13">
        <v>14</v>
      </c>
      <c r="B14" s="17" t="s">
        <v>72</v>
      </c>
      <c r="C14" s="18" t="s">
        <v>125</v>
      </c>
      <c r="D14" s="17" t="s">
        <v>107</v>
      </c>
      <c r="E14" s="17" t="s">
        <v>125</v>
      </c>
      <c r="F14" s="17" t="s">
        <v>31</v>
      </c>
      <c r="G14" s="17" t="s">
        <v>109</v>
      </c>
      <c r="H14" s="19">
        <v>1.15723078414369E-2</v>
      </c>
      <c r="I14" s="19">
        <v>3.5783752913918401E-2</v>
      </c>
      <c r="J14" s="19">
        <v>4.3835574466484201E-2</v>
      </c>
      <c r="K14" s="19">
        <v>4.6602210751286198E-2</v>
      </c>
      <c r="L14" s="19">
        <v>4.7522814418461498E-2</v>
      </c>
      <c r="M14" s="19">
        <v>1.09608328862621E-2</v>
      </c>
      <c r="N14" s="19">
        <v>1.94666455245813E-2</v>
      </c>
      <c r="O14" s="19">
        <v>4.4876853694664598E-2</v>
      </c>
      <c r="P14" s="19">
        <v>2.9978940903443302E-3</v>
      </c>
      <c r="Q14" s="19">
        <v>5.0006720905329698E-2</v>
      </c>
      <c r="R14" s="19">
        <v>8.1154020010521993E-2</v>
      </c>
      <c r="S14" s="19">
        <v>7.7908452571758893E-2</v>
      </c>
      <c r="T14" s="19">
        <v>5.7978777525959001E-2</v>
      </c>
      <c r="U14" s="19">
        <v>7.2567251783933098E-2</v>
      </c>
      <c r="V14" s="19">
        <v>3.2965186585703597E-2</v>
      </c>
      <c r="W14" s="19">
        <v>0.10313805228591399</v>
      </c>
      <c r="X14" s="19">
        <v>4.6391212919408703E-2</v>
      </c>
      <c r="Y14" s="19">
        <v>5.2065703114474601E-2</v>
      </c>
      <c r="Z14" s="19">
        <v>2.94963102569154E-2</v>
      </c>
      <c r="AA14" s="19">
        <v>3.57656146098227E-2</v>
      </c>
      <c r="AB14" s="19">
        <v>4.42087584715345E-2</v>
      </c>
      <c r="AC14" s="19">
        <v>5.7286174038444198E-3</v>
      </c>
      <c r="AD14" s="19">
        <v>5.61606710222314E-2</v>
      </c>
      <c r="AE14" s="19">
        <v>4.2091931272103103E-2</v>
      </c>
    </row>
    <row r="15" spans="1:31" x14ac:dyDescent="0.2">
      <c r="A15" s="13">
        <v>15</v>
      </c>
      <c r="B15" s="14" t="s">
        <v>11</v>
      </c>
      <c r="C15" s="15" t="s">
        <v>125</v>
      </c>
      <c r="D15" s="14" t="s">
        <v>59</v>
      </c>
      <c r="E15" s="14" t="s">
        <v>125</v>
      </c>
      <c r="F15" s="14" t="s">
        <v>104</v>
      </c>
      <c r="G15" s="14" t="s">
        <v>109</v>
      </c>
      <c r="H15" s="16">
        <v>0.17612015314305601</v>
      </c>
      <c r="I15" s="16">
        <v>7.1421581054482999E-2</v>
      </c>
      <c r="J15" s="16">
        <v>1.68327558419476E-2</v>
      </c>
      <c r="K15" s="16">
        <v>0.63523388438116901</v>
      </c>
      <c r="L15" s="16">
        <v>0.203270669271365</v>
      </c>
      <c r="M15" s="16">
        <v>10.5707398864935</v>
      </c>
      <c r="N15" s="16">
        <v>0.57675025807186997</v>
      </c>
      <c r="O15" s="16">
        <v>0.256407352765949</v>
      </c>
      <c r="P15" s="16">
        <v>0.21635610494488899</v>
      </c>
      <c r="Q15" s="16">
        <v>0.77888461688714605</v>
      </c>
      <c r="R15" s="16">
        <v>4.3700559312444001E-2</v>
      </c>
      <c r="S15" s="16">
        <v>172.989623221469</v>
      </c>
      <c r="T15" s="16">
        <v>0.10969510423602299</v>
      </c>
      <c r="U15" s="16">
        <v>1.08919930863304</v>
      </c>
      <c r="V15" s="16">
        <v>5.4244230165620799E-2</v>
      </c>
      <c r="W15" s="16">
        <v>0.269195047924631</v>
      </c>
      <c r="X15" s="16">
        <v>0.14839422581575501</v>
      </c>
      <c r="Y15" s="16">
        <v>0.15564799079789399</v>
      </c>
      <c r="Z15" s="16">
        <v>9.8843169636737595E-3</v>
      </c>
      <c r="AA15" s="16">
        <v>1.47300820222522E-2</v>
      </c>
      <c r="AB15" s="16">
        <v>7.0799483006669897E-2</v>
      </c>
      <c r="AC15" s="16">
        <v>6.8825040031652199E-2</v>
      </c>
      <c r="AD15" s="16">
        <v>7.26111337980508E-2</v>
      </c>
      <c r="AE15" s="16">
        <v>0.106490842575171</v>
      </c>
    </row>
    <row r="16" spans="1:31" x14ac:dyDescent="0.2">
      <c r="A16" s="13">
        <v>16</v>
      </c>
      <c r="B16" s="17" t="s">
        <v>49</v>
      </c>
      <c r="C16" s="18" t="s">
        <v>125</v>
      </c>
      <c r="D16" s="17" t="s">
        <v>143</v>
      </c>
      <c r="E16" s="17" t="s">
        <v>125</v>
      </c>
      <c r="F16" s="17" t="s">
        <v>48</v>
      </c>
      <c r="G16" s="17" t="s">
        <v>109</v>
      </c>
      <c r="H16" s="19">
        <v>0.11531849460250899</v>
      </c>
      <c r="I16" s="19">
        <v>0.142873498825935</v>
      </c>
      <c r="J16" s="19">
        <v>7.2730058774819306E-2</v>
      </c>
      <c r="K16" s="19">
        <v>0.61853824681576997</v>
      </c>
      <c r="L16" s="19">
        <v>0.13349895747865301</v>
      </c>
      <c r="M16" s="19">
        <v>0.83083744284379202</v>
      </c>
      <c r="N16" s="19">
        <v>4.5510200051802202E-3</v>
      </c>
      <c r="O16" s="19">
        <v>4.7774822614151898E-2</v>
      </c>
      <c r="P16" s="19">
        <v>1.82379034302926E-2</v>
      </c>
      <c r="Q16" s="19">
        <v>1.5500389433264801E-2</v>
      </c>
      <c r="R16" s="19">
        <v>0.33750438061860399</v>
      </c>
      <c r="S16" s="19">
        <v>1.1609724330996301</v>
      </c>
      <c r="T16" s="19">
        <v>2.9412135190292898E-2</v>
      </c>
      <c r="U16" s="19">
        <v>0.300770310244318</v>
      </c>
      <c r="V16" s="19">
        <v>0.208138456208947</v>
      </c>
      <c r="W16" s="19">
        <v>9.7000618315287598E-2</v>
      </c>
      <c r="X16" s="19">
        <v>1.0477885813196901</v>
      </c>
      <c r="Y16" s="19">
        <v>9.6083562417952906E-2</v>
      </c>
      <c r="Z16" s="19">
        <v>0.21680636967327199</v>
      </c>
      <c r="AA16" s="19">
        <v>0.117212858115973</v>
      </c>
      <c r="AB16" s="19">
        <v>0.21610334734259501</v>
      </c>
      <c r="AC16" s="19">
        <v>0.103568898167224</v>
      </c>
      <c r="AD16" s="19">
        <v>8.2147397483084403E-2</v>
      </c>
      <c r="AE16" s="19">
        <v>0.153687524793957</v>
      </c>
    </row>
    <row r="17" spans="1:31" x14ac:dyDescent="0.2">
      <c r="A17" s="13">
        <v>17</v>
      </c>
      <c r="B17" s="14" t="s">
        <v>78</v>
      </c>
      <c r="C17" s="15" t="s">
        <v>125</v>
      </c>
      <c r="D17" s="14" t="s">
        <v>23</v>
      </c>
      <c r="E17" s="14" t="s">
        <v>125</v>
      </c>
      <c r="F17" s="14" t="s">
        <v>29</v>
      </c>
      <c r="G17" s="14" t="s">
        <v>109</v>
      </c>
      <c r="H17" s="16">
        <v>0.34178105674478498</v>
      </c>
      <c r="I17" s="16">
        <v>8.3151875703636193</v>
      </c>
      <c r="J17" s="16">
        <v>0.17668414938868199</v>
      </c>
      <c r="K17" s="16">
        <v>2.0127303985130198</v>
      </c>
      <c r="L17" s="16">
        <v>0.56644266731886495</v>
      </c>
      <c r="M17" s="16">
        <v>0.25010499371987799</v>
      </c>
      <c r="N17" s="16">
        <v>0.87430089088490404</v>
      </c>
      <c r="O17" s="16">
        <v>0.21066560145721899</v>
      </c>
      <c r="P17" s="16">
        <v>1.4077060275476699E-2</v>
      </c>
      <c r="Q17" s="16">
        <v>0.24638838442316299</v>
      </c>
      <c r="R17" s="16">
        <v>4.3555039806681304</v>
      </c>
      <c r="S17" s="16">
        <v>0.554343537978496</v>
      </c>
      <c r="T17" s="16">
        <v>0.44045699797571902</v>
      </c>
      <c r="U17" s="16">
        <v>1.0179871104801199</v>
      </c>
      <c r="V17" s="16">
        <v>1.42982404296361</v>
      </c>
      <c r="W17" s="16">
        <v>2.3550482413237299</v>
      </c>
      <c r="X17" s="16">
        <v>0.30639457516039398</v>
      </c>
      <c r="Y17" s="16">
        <v>0.67030494357640802</v>
      </c>
      <c r="Z17" s="16">
        <v>0.231077655934913</v>
      </c>
      <c r="AA17" s="16">
        <v>4.5774076755726097E-2</v>
      </c>
      <c r="AB17" s="16">
        <v>0.233448967872041</v>
      </c>
      <c r="AC17" s="16">
        <v>0.108809215529686</v>
      </c>
      <c r="AD17" s="16">
        <v>9.9102731777167899E-2</v>
      </c>
      <c r="AE17" s="16">
        <v>0.15535936277645099</v>
      </c>
    </row>
    <row r="18" spans="1:31" x14ac:dyDescent="0.2">
      <c r="A18" s="13">
        <v>18</v>
      </c>
      <c r="B18" s="17" t="s">
        <v>22</v>
      </c>
      <c r="C18" s="18" t="s">
        <v>125</v>
      </c>
      <c r="D18" s="17" t="s">
        <v>66</v>
      </c>
      <c r="E18" s="17" t="s">
        <v>125</v>
      </c>
      <c r="F18" s="17" t="s">
        <v>68</v>
      </c>
      <c r="G18" s="17" t="s">
        <v>109</v>
      </c>
      <c r="H18" s="19">
        <v>4.0802787930159998E-2</v>
      </c>
      <c r="I18" s="19">
        <v>6.6385919847621697E-2</v>
      </c>
      <c r="J18" s="19">
        <v>4.4054154244882397E-2</v>
      </c>
      <c r="K18" s="19">
        <v>14.795175865146501</v>
      </c>
      <c r="L18" s="19">
        <v>0.109512577139393</v>
      </c>
      <c r="M18" s="19">
        <v>6.9563032918077403E-2</v>
      </c>
      <c r="N18" s="19">
        <v>3.2258207260859699E-2</v>
      </c>
      <c r="O18" s="19">
        <v>5.28537373841661E-2</v>
      </c>
      <c r="P18" s="19">
        <v>9.8804239879021399E-2</v>
      </c>
      <c r="Q18" s="19">
        <v>8.9975531525522595E-2</v>
      </c>
      <c r="R18" s="19">
        <v>7.4730696301870403E-2</v>
      </c>
      <c r="S18" s="19">
        <v>0.39752357992031001</v>
      </c>
      <c r="T18" s="19">
        <v>6.4516873937007904E-2</v>
      </c>
      <c r="U18" s="19">
        <v>0.35505597637088199</v>
      </c>
      <c r="V18" s="19">
        <v>4.2452020167860399E-2</v>
      </c>
      <c r="W18" s="19">
        <v>9.1998427844030006E-2</v>
      </c>
      <c r="X18" s="19">
        <v>0.130915131479764</v>
      </c>
      <c r="Y18" s="19">
        <v>6.1901380012449499E-2</v>
      </c>
      <c r="Z18" s="19">
        <v>3.7640777708693403E-2</v>
      </c>
      <c r="AA18" s="19">
        <v>3.7075689160962502E-2</v>
      </c>
      <c r="AB18" s="19">
        <v>4.73434243224286E-2</v>
      </c>
      <c r="AC18" s="19">
        <v>2.2396737390520699E-2</v>
      </c>
      <c r="AD18" s="19">
        <v>5.0764944738744003E-2</v>
      </c>
      <c r="AE18" s="19">
        <v>2.5229681852440702E-2</v>
      </c>
    </row>
    <row r="19" spans="1:31" x14ac:dyDescent="0.2">
      <c r="A19" s="13">
        <v>19</v>
      </c>
      <c r="B19" s="14" t="s">
        <v>51</v>
      </c>
      <c r="C19" s="15" t="s">
        <v>125</v>
      </c>
      <c r="D19" s="14" t="s">
        <v>115</v>
      </c>
      <c r="E19" s="14" t="s">
        <v>125</v>
      </c>
      <c r="F19" s="14" t="s">
        <v>56</v>
      </c>
      <c r="G19" s="14" t="s">
        <v>109</v>
      </c>
      <c r="H19" s="16">
        <v>2.8781136505081299E-2</v>
      </c>
      <c r="I19" s="16">
        <v>3.2512932769496197E-2</v>
      </c>
      <c r="J19" s="16">
        <v>4.4238070332386803E-2</v>
      </c>
      <c r="K19" s="16">
        <v>1.36582992244056E-2</v>
      </c>
      <c r="L19" s="16">
        <v>5.6683779609282899E-2</v>
      </c>
      <c r="M19" s="16">
        <v>3.3005294667633203E-2</v>
      </c>
      <c r="N19" s="16">
        <v>2.03395095269874E-2</v>
      </c>
      <c r="O19" s="16">
        <v>4.2126265638655999E-2</v>
      </c>
      <c r="P19" s="16">
        <v>1.7199885868752499E-2</v>
      </c>
      <c r="Q19" s="16">
        <v>6.8370240131990404E-2</v>
      </c>
      <c r="R19" s="16">
        <v>7.6910897535461903E-2</v>
      </c>
      <c r="S19" s="16">
        <v>6.8544745639486301E-2</v>
      </c>
      <c r="T19" s="16">
        <v>2.5617153648979599E-2</v>
      </c>
      <c r="U19" s="16">
        <v>9.6695226670488202E-2</v>
      </c>
      <c r="V19" s="16">
        <v>4.9871670328563503E-2</v>
      </c>
      <c r="W19" s="16">
        <v>7.8999385901642294E-2</v>
      </c>
      <c r="X19" s="16">
        <v>3.3457138941157302E-2</v>
      </c>
      <c r="Y19" s="16">
        <v>4.1424708410399802E-2</v>
      </c>
      <c r="Z19" s="16">
        <v>2.3765097098414401E-2</v>
      </c>
      <c r="AA19" s="16">
        <v>4.4369732300693597E-2</v>
      </c>
      <c r="AB19" s="16">
        <v>5.1337651838272699E-2</v>
      </c>
      <c r="AC19" s="16">
        <v>2.4891667954831401E-2</v>
      </c>
      <c r="AD19" s="16">
        <v>3.4401844746866098E-2</v>
      </c>
      <c r="AE19" s="16">
        <v>3.7613631648359298E-2</v>
      </c>
    </row>
    <row r="20" spans="1:31" x14ac:dyDescent="0.2">
      <c r="A20" s="13">
        <v>20</v>
      </c>
      <c r="B20" s="17" t="s">
        <v>138</v>
      </c>
      <c r="C20" s="18" t="s">
        <v>125</v>
      </c>
      <c r="D20" s="17" t="s">
        <v>150</v>
      </c>
      <c r="E20" s="17" t="s">
        <v>125</v>
      </c>
      <c r="F20" s="17" t="s">
        <v>85</v>
      </c>
      <c r="G20" s="17" t="s">
        <v>109</v>
      </c>
      <c r="H20" s="19">
        <v>0.17891451090754601</v>
      </c>
      <c r="I20" s="19">
        <v>7.1351739239449097E-2</v>
      </c>
      <c r="J20" s="19">
        <v>5.14966967785975E-2</v>
      </c>
      <c r="K20" s="19">
        <v>1.34878055844314</v>
      </c>
      <c r="L20" s="19">
        <v>2.2387529179532899E-2</v>
      </c>
      <c r="M20" s="19">
        <v>5.2779839734692402</v>
      </c>
      <c r="N20" s="19">
        <v>0.32417452302668698</v>
      </c>
      <c r="O20" s="19">
        <v>0.20033011339658699</v>
      </c>
      <c r="P20" s="19">
        <v>0.48838485685869598</v>
      </c>
      <c r="Q20" s="19">
        <v>1.56324821581614</v>
      </c>
      <c r="R20" s="19">
        <v>7.6949842829740003E-2</v>
      </c>
      <c r="S20" s="19">
        <v>0.59165729461826599</v>
      </c>
      <c r="T20" s="19">
        <v>6.3613322538306899E-3</v>
      </c>
      <c r="U20" s="19">
        <v>5.76213431008952E-2</v>
      </c>
      <c r="V20" s="19">
        <v>0.145982476659065</v>
      </c>
      <c r="W20" s="19">
        <v>0.34384417812912299</v>
      </c>
      <c r="X20" s="19">
        <v>0.63043400066394994</v>
      </c>
      <c r="Y20" s="19">
        <v>2.1222042024161902E-2</v>
      </c>
      <c r="Z20" s="19">
        <v>0.14779682051528101</v>
      </c>
      <c r="AA20" s="19">
        <v>5.1556360605429098E-2</v>
      </c>
      <c r="AB20" s="19">
        <v>0.18780746039712801</v>
      </c>
      <c r="AC20" s="19">
        <v>0.153267762728584</v>
      </c>
      <c r="AD20" s="19">
        <v>0.11175108651728601</v>
      </c>
      <c r="AE20" s="19">
        <v>6.0922726130521201E-2</v>
      </c>
    </row>
    <row r="21" spans="1:31" x14ac:dyDescent="0.2">
      <c r="A21" s="13">
        <v>21</v>
      </c>
      <c r="B21" s="14" t="s">
        <v>112</v>
      </c>
      <c r="C21" s="15" t="s">
        <v>125</v>
      </c>
      <c r="D21" s="14" t="s">
        <v>101</v>
      </c>
      <c r="E21" s="14" t="s">
        <v>125</v>
      </c>
      <c r="F21" s="14" t="s">
        <v>152</v>
      </c>
      <c r="G21" s="14" t="s">
        <v>109</v>
      </c>
      <c r="H21" s="16">
        <v>4.3205386376135801E-2</v>
      </c>
      <c r="I21" s="16">
        <v>9.2044553084074401E-2</v>
      </c>
      <c r="J21" s="16">
        <v>4.5589920764834001E-2</v>
      </c>
      <c r="K21" s="16">
        <v>3.8342045553887101E-2</v>
      </c>
      <c r="L21" s="16">
        <v>0.10313325389068401</v>
      </c>
      <c r="M21" s="16">
        <v>5.84256651185339E-2</v>
      </c>
      <c r="N21" s="16">
        <v>6.6624010469251401E-3</v>
      </c>
      <c r="O21" s="16">
        <v>6.2960238440842101E-2</v>
      </c>
      <c r="P21" s="16">
        <v>2.3646524938389598E-3</v>
      </c>
      <c r="Q21" s="16">
        <v>1.32170695487277E-2</v>
      </c>
      <c r="R21" s="16">
        <v>1.8731831947023801E-2</v>
      </c>
      <c r="S21" s="16">
        <v>1.2486631528513501</v>
      </c>
      <c r="T21" s="16">
        <v>0.53044274895792398</v>
      </c>
      <c r="U21" s="16">
        <v>9.6725556229116598E-4</v>
      </c>
      <c r="V21" s="16">
        <v>6.5938866747423802E-2</v>
      </c>
      <c r="W21" s="16">
        <v>4.6628809105685003E-2</v>
      </c>
      <c r="X21" s="16">
        <v>3.60506328175993</v>
      </c>
      <c r="Y21" s="16">
        <v>0.105563238651126</v>
      </c>
      <c r="Z21" s="16">
        <v>5.92134550454003E-2</v>
      </c>
      <c r="AA21" s="16">
        <v>7.1168291032445402E-2</v>
      </c>
      <c r="AB21" s="16">
        <v>4.17236283321906E-2</v>
      </c>
      <c r="AC21" s="16">
        <v>6.02692553202566E-2</v>
      </c>
      <c r="AD21" s="16">
        <v>5.0959115006680503E-2</v>
      </c>
      <c r="AE21" s="16">
        <v>6.8571719746520807E-2</v>
      </c>
    </row>
    <row r="22" spans="1:31" x14ac:dyDescent="0.2">
      <c r="A22" s="13">
        <v>22</v>
      </c>
      <c r="B22" s="17" t="s">
        <v>95</v>
      </c>
      <c r="C22" s="18" t="s">
        <v>125</v>
      </c>
      <c r="D22" s="17" t="s">
        <v>92</v>
      </c>
      <c r="E22" s="17" t="s">
        <v>125</v>
      </c>
      <c r="F22" s="17" t="s">
        <v>124</v>
      </c>
      <c r="G22" s="17" t="s">
        <v>109</v>
      </c>
      <c r="H22" s="19">
        <v>3.71629883873301E-2</v>
      </c>
      <c r="I22" s="19">
        <v>2.07069498341216E-2</v>
      </c>
      <c r="J22" s="19">
        <v>6.8077595116131803E-2</v>
      </c>
      <c r="K22" s="19">
        <v>8.1943674669293903E-3</v>
      </c>
      <c r="L22" s="19">
        <v>0.110875076150483</v>
      </c>
      <c r="M22" s="19">
        <v>3.1327709951892699E-2</v>
      </c>
      <c r="N22" s="19">
        <v>2.5942367012951599E-2</v>
      </c>
      <c r="O22" s="19">
        <v>5.7395934483941403E-2</v>
      </c>
      <c r="P22" s="19">
        <v>2.37288853888869E-2</v>
      </c>
      <c r="Q22" s="19">
        <v>1.5910592086856499E-2</v>
      </c>
      <c r="R22" s="19">
        <v>0.14181594650663701</v>
      </c>
      <c r="S22" s="19">
        <v>1.1281323873887501</v>
      </c>
      <c r="T22" s="19">
        <v>6.0317937347632397E-2</v>
      </c>
      <c r="U22" s="19">
        <v>2.5767400531218898E-3</v>
      </c>
      <c r="V22" s="19">
        <v>6.4006894629776795E-2</v>
      </c>
      <c r="W22" s="19">
        <v>6.16145061877275E-2</v>
      </c>
      <c r="X22" s="19">
        <v>1.64721211163453</v>
      </c>
      <c r="Y22" s="19">
        <v>0.57580578491587198</v>
      </c>
      <c r="Z22" s="19">
        <v>6.8984121220672698E-2</v>
      </c>
      <c r="AA22" s="19">
        <v>0.15855775193524299</v>
      </c>
      <c r="AB22" s="19">
        <v>0.33979466008713199</v>
      </c>
      <c r="AC22" s="19">
        <v>8.2877741890717602E-2</v>
      </c>
      <c r="AD22" s="19">
        <v>4.7029777967313002E-2</v>
      </c>
      <c r="AE22" s="19">
        <v>3.5734804400427797E-2</v>
      </c>
    </row>
    <row r="23" spans="1:31" x14ac:dyDescent="0.2">
      <c r="A23" s="13">
        <v>23</v>
      </c>
      <c r="B23" s="14" t="s">
        <v>146</v>
      </c>
      <c r="C23" s="15" t="s">
        <v>125</v>
      </c>
      <c r="D23" s="14" t="s">
        <v>136</v>
      </c>
      <c r="E23" s="14" t="s">
        <v>125</v>
      </c>
      <c r="F23" s="14" t="s">
        <v>111</v>
      </c>
      <c r="G23" s="14" t="s">
        <v>109</v>
      </c>
      <c r="H23" s="16">
        <v>1.3633464623934E-2</v>
      </c>
      <c r="I23" s="16">
        <v>4.4887357452486301E-2</v>
      </c>
      <c r="J23" s="16">
        <v>4.72231103559334E-2</v>
      </c>
      <c r="K23" s="16">
        <v>3.9013547984160901E-2</v>
      </c>
      <c r="L23" s="16">
        <v>0.18451216266655601</v>
      </c>
      <c r="M23" s="16">
        <v>1.92071302198016E-2</v>
      </c>
      <c r="N23" s="16">
        <v>3.0829699239630901E-3</v>
      </c>
      <c r="O23" s="16">
        <v>2.8606666492788601E-2</v>
      </c>
      <c r="P23" s="16">
        <v>1.8429518407391401E-2</v>
      </c>
      <c r="Q23" s="16">
        <v>5.3916236250334898E-2</v>
      </c>
      <c r="R23" s="16">
        <v>0.11123142966475</v>
      </c>
      <c r="S23" s="16">
        <v>0.72097896737988099</v>
      </c>
      <c r="T23" s="16">
        <v>0.175662701573536</v>
      </c>
      <c r="U23" s="16">
        <v>4.2252813937494801E-3</v>
      </c>
      <c r="V23" s="16">
        <v>8.2023687959789204E-2</v>
      </c>
      <c r="W23" s="16">
        <v>0.17011111182963301</v>
      </c>
      <c r="X23" s="16">
        <v>0.49866526201245498</v>
      </c>
      <c r="Y23" s="16">
        <v>0.56472552318526104</v>
      </c>
      <c r="Z23" s="16">
        <v>2.1288016988608199E-2</v>
      </c>
      <c r="AA23" s="16">
        <v>0.22367149846998599</v>
      </c>
      <c r="AB23" s="16">
        <v>7.9846861852055903E-2</v>
      </c>
      <c r="AC23" s="16">
        <v>3.6313920132807001E-2</v>
      </c>
      <c r="AD23" s="16">
        <v>0.143309174937401</v>
      </c>
      <c r="AE23" s="16">
        <v>3.76050450893455E-2</v>
      </c>
    </row>
    <row r="24" spans="1:31" x14ac:dyDescent="0.2">
      <c r="A24" s="13">
        <v>24</v>
      </c>
      <c r="B24" s="17" t="s">
        <v>113</v>
      </c>
      <c r="C24" s="18" t="s">
        <v>125</v>
      </c>
      <c r="D24" s="17" t="s">
        <v>133</v>
      </c>
      <c r="E24" s="17" t="s">
        <v>125</v>
      </c>
      <c r="F24" s="17" t="s">
        <v>130</v>
      </c>
      <c r="G24" s="17" t="s">
        <v>109</v>
      </c>
      <c r="H24" s="19">
        <v>2.6234307654879999E-2</v>
      </c>
      <c r="I24" s="19">
        <v>4.0557443497555697E-2</v>
      </c>
      <c r="J24" s="19">
        <v>6.2275822743273798E-2</v>
      </c>
      <c r="K24" s="19">
        <v>7.43058180035783E-2</v>
      </c>
      <c r="L24" s="19">
        <v>8.18184762542256E-2</v>
      </c>
      <c r="M24" s="19">
        <v>2.2019501977332E-2</v>
      </c>
      <c r="N24" s="19">
        <v>6.2269675287759197E-3</v>
      </c>
      <c r="O24" s="19">
        <v>3.3949307554107397E-2</v>
      </c>
      <c r="P24" s="19">
        <v>1.72784180630546E-3</v>
      </c>
      <c r="Q24" s="19">
        <v>5.4855303670261701E-2</v>
      </c>
      <c r="R24" s="19">
        <v>9.1401603214920399E-2</v>
      </c>
      <c r="S24" s="19">
        <v>0.200821275202442</v>
      </c>
      <c r="T24" s="19">
        <v>0.12805614509645</v>
      </c>
      <c r="U24" s="19">
        <v>7.7852468040940396E-3</v>
      </c>
      <c r="V24" s="19">
        <v>5.7438507050703996E-3</v>
      </c>
      <c r="W24" s="19">
        <v>0.189860767261531</v>
      </c>
      <c r="X24" s="19">
        <v>0.37736668174843502</v>
      </c>
      <c r="Y24" s="19">
        <v>0.80640446541437705</v>
      </c>
      <c r="Z24" s="19">
        <v>2.70255910962552E-2</v>
      </c>
      <c r="AA24" s="19">
        <v>6.6199706746422393E-2</v>
      </c>
      <c r="AB24" s="19">
        <v>5.0610525417897498E-2</v>
      </c>
      <c r="AC24" s="19">
        <v>1.95006223222122E-2</v>
      </c>
      <c r="AD24" s="19">
        <v>7.6249395749895602E-2</v>
      </c>
      <c r="AE24" s="19">
        <v>5.6693798201901402E-2</v>
      </c>
    </row>
    <row r="25" spans="1:31" x14ac:dyDescent="0.2">
      <c r="A25" s="13">
        <v>25</v>
      </c>
      <c r="B25" s="14" t="s">
        <v>8</v>
      </c>
      <c r="C25" s="15" t="s">
        <v>125</v>
      </c>
      <c r="D25" s="14" t="s">
        <v>135</v>
      </c>
      <c r="E25" s="14" t="s">
        <v>125</v>
      </c>
      <c r="F25" s="14" t="s">
        <v>74</v>
      </c>
      <c r="G25" s="14" t="s">
        <v>109</v>
      </c>
      <c r="H25" s="16">
        <v>1.9148693155378399E-2</v>
      </c>
      <c r="I25" s="16">
        <v>2.7962434700548999E-2</v>
      </c>
      <c r="J25" s="16">
        <v>1.98365973513011E-2</v>
      </c>
      <c r="K25" s="16">
        <v>7.6601765923285506E-2</v>
      </c>
      <c r="L25" s="16">
        <v>0.108835707927214</v>
      </c>
      <c r="M25" s="20" t="s">
        <v>24</v>
      </c>
      <c r="N25" s="16">
        <v>1.8729430405732401E-2</v>
      </c>
      <c r="O25" s="16">
        <v>4.9663783586572002E-2</v>
      </c>
      <c r="P25" s="16">
        <v>2.47443626162753E-3</v>
      </c>
      <c r="Q25" s="16">
        <v>5.9050846181626697E-2</v>
      </c>
      <c r="R25" s="16">
        <v>6.3380132324126301E-2</v>
      </c>
      <c r="S25" s="16">
        <v>1.4020371128514399</v>
      </c>
      <c r="T25" s="16">
        <v>0.28900862655200599</v>
      </c>
      <c r="U25" s="16">
        <v>5.7109998211361699E-3</v>
      </c>
      <c r="V25" s="16">
        <v>3.9188445797441199E-2</v>
      </c>
      <c r="W25" s="16">
        <v>8.6447694440225001E-2</v>
      </c>
      <c r="X25" s="16">
        <v>0.52925961486360695</v>
      </c>
      <c r="Y25" s="16">
        <v>0.32084348803669299</v>
      </c>
      <c r="Z25" s="16">
        <v>3.3346026711985201E-2</v>
      </c>
      <c r="AA25" s="16">
        <v>3.2681741781651799E-2</v>
      </c>
      <c r="AB25" s="16">
        <v>3.0560617774804899E-2</v>
      </c>
      <c r="AC25" s="16">
        <v>2.6778422435275701E-2</v>
      </c>
      <c r="AD25" s="16">
        <v>5.1428245694959802E-2</v>
      </c>
      <c r="AE25" s="16">
        <v>4.0226948545793603E-2</v>
      </c>
    </row>
    <row r="26" spans="1:31" x14ac:dyDescent="0.2">
      <c r="A26" s="13">
        <v>26</v>
      </c>
      <c r="B26" s="17" t="s">
        <v>97</v>
      </c>
      <c r="C26" s="18" t="s">
        <v>125</v>
      </c>
      <c r="D26" s="17" t="s">
        <v>105</v>
      </c>
      <c r="E26" s="17" t="s">
        <v>125</v>
      </c>
      <c r="F26" s="17" t="s">
        <v>15</v>
      </c>
      <c r="G26" s="17" t="s">
        <v>109</v>
      </c>
      <c r="H26" s="19">
        <v>2.7325269522399501E-2</v>
      </c>
      <c r="I26" s="19">
        <v>1.8096707541087699E-2</v>
      </c>
      <c r="J26" s="19">
        <v>5.7582952151569097E-2</v>
      </c>
      <c r="K26" s="19">
        <v>2.96791210644426E-2</v>
      </c>
      <c r="L26" s="19">
        <v>5.8761267901824697E-2</v>
      </c>
      <c r="M26" s="19">
        <v>1.1669658489285001E-2</v>
      </c>
      <c r="N26" s="19">
        <v>8.6662969658905901E-3</v>
      </c>
      <c r="O26" s="19">
        <v>1.27177663668824E-2</v>
      </c>
      <c r="P26" s="19">
        <v>2.26780019235336E-2</v>
      </c>
      <c r="Q26" s="19">
        <v>5.56380949623431E-2</v>
      </c>
      <c r="R26" s="19">
        <v>3.8260470091064001E-2</v>
      </c>
      <c r="S26" s="19">
        <v>0.13176203680734799</v>
      </c>
      <c r="T26" s="19">
        <v>3.6303209049596698E-2</v>
      </c>
      <c r="U26" s="19">
        <v>7.3349625928874798E-2</v>
      </c>
      <c r="V26" s="19">
        <v>3.7200155859167597E-2</v>
      </c>
      <c r="W26" s="19">
        <v>7.6006106323103895E-2</v>
      </c>
      <c r="X26" s="19">
        <v>0.118586604446192</v>
      </c>
      <c r="Y26" s="19">
        <v>3.2040140434038203E-2</v>
      </c>
      <c r="Z26" s="19">
        <v>4.1479793438998498E-2</v>
      </c>
      <c r="AA26" s="19">
        <v>6.3736830304624195E-2</v>
      </c>
      <c r="AB26" s="19">
        <v>3.8991638726755803E-2</v>
      </c>
      <c r="AC26" s="19">
        <v>2.4623751351968998E-2</v>
      </c>
      <c r="AD26" s="19">
        <v>2.8191675375007601E-2</v>
      </c>
      <c r="AE26" s="19">
        <v>5.3852214233523703E-2</v>
      </c>
    </row>
    <row r="27" spans="1:31" x14ac:dyDescent="0.2">
      <c r="A27" s="13">
        <v>27</v>
      </c>
      <c r="B27" s="14" t="s">
        <v>75</v>
      </c>
      <c r="C27" s="15" t="s">
        <v>125</v>
      </c>
      <c r="D27" s="14" t="s">
        <v>70</v>
      </c>
      <c r="E27" s="14" t="s">
        <v>125</v>
      </c>
      <c r="F27" s="14" t="s">
        <v>7</v>
      </c>
      <c r="G27" s="14" t="s">
        <v>109</v>
      </c>
      <c r="H27" s="16">
        <v>0.320540323035573</v>
      </c>
      <c r="I27" s="16">
        <v>0.145199203783488</v>
      </c>
      <c r="J27" s="16">
        <v>6.6155658324992095E-2</v>
      </c>
      <c r="K27" s="16">
        <v>0.47792858350513401</v>
      </c>
      <c r="L27" s="16">
        <v>0.31850871807338799</v>
      </c>
      <c r="M27" s="16">
        <v>0.26195981931957901</v>
      </c>
      <c r="N27" s="16">
        <v>0.34105690428413099</v>
      </c>
      <c r="O27" s="16">
        <v>0.34066139804289902</v>
      </c>
      <c r="P27" s="16">
        <v>0.23310525841943799</v>
      </c>
      <c r="Q27" s="16">
        <v>0.38953617183404998</v>
      </c>
      <c r="R27" s="16">
        <v>7.9284936626546204E-2</v>
      </c>
      <c r="S27" s="16">
        <v>1.25640954645171</v>
      </c>
      <c r="T27" s="16">
        <v>0.11630932014199299</v>
      </c>
      <c r="U27" s="16">
        <v>0.89805640073483095</v>
      </c>
      <c r="V27" s="16">
        <v>0.150920338061206</v>
      </c>
      <c r="W27" s="16">
        <v>5.1333799178584903E-2</v>
      </c>
      <c r="X27" s="16">
        <v>0.577807024483462</v>
      </c>
      <c r="Y27" s="16">
        <v>0.240097622733703</v>
      </c>
      <c r="Z27" s="16">
        <v>0.118428018421812</v>
      </c>
      <c r="AA27" s="16">
        <v>1.8831445981113901E-2</v>
      </c>
      <c r="AB27" s="16">
        <v>0.129078796216193</v>
      </c>
      <c r="AC27" s="16">
        <v>0.15177313484756799</v>
      </c>
      <c r="AD27" s="16">
        <v>8.9029353834136904E-2</v>
      </c>
      <c r="AE27" s="16">
        <v>0.106467530850495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E27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67</v>
      </c>
      <c r="B1" s="1" t="s">
        <v>131</v>
      </c>
      <c r="C1" s="1" t="s">
        <v>99</v>
      </c>
      <c r="D1" s="1" t="s">
        <v>42</v>
      </c>
      <c r="E1" s="1" t="s">
        <v>55</v>
      </c>
      <c r="F1" s="1" t="s">
        <v>77</v>
      </c>
      <c r="G1" s="1" t="s">
        <v>127</v>
      </c>
      <c r="H1" s="1" t="s">
        <v>88</v>
      </c>
      <c r="I1" s="1" t="s">
        <v>30</v>
      </c>
      <c r="J1" s="1" t="s">
        <v>93</v>
      </c>
      <c r="K1" s="1" t="s">
        <v>57</v>
      </c>
      <c r="L1" s="1" t="s">
        <v>0</v>
      </c>
      <c r="M1" s="1" t="s">
        <v>33</v>
      </c>
      <c r="N1" s="2" t="s">
        <v>62</v>
      </c>
      <c r="O1" s="1" t="s">
        <v>153</v>
      </c>
      <c r="P1" s="2" t="s">
        <v>21</v>
      </c>
      <c r="Q1" s="1" t="s">
        <v>114</v>
      </c>
      <c r="R1" s="1" t="s">
        <v>106</v>
      </c>
      <c r="S1" s="1" t="s">
        <v>54</v>
      </c>
      <c r="T1" s="1" t="s">
        <v>10</v>
      </c>
      <c r="U1" s="1" t="s">
        <v>63</v>
      </c>
      <c r="V1" s="1" t="s">
        <v>147</v>
      </c>
      <c r="W1" s="1" t="s">
        <v>154</v>
      </c>
      <c r="X1" s="1" t="s">
        <v>46</v>
      </c>
      <c r="Y1" s="1" t="s">
        <v>132</v>
      </c>
      <c r="Z1" s="1" t="s">
        <v>121</v>
      </c>
      <c r="AA1" s="1" t="s">
        <v>91</v>
      </c>
      <c r="AB1" s="1" t="s">
        <v>38</v>
      </c>
      <c r="AC1" s="1" t="s">
        <v>61</v>
      </c>
      <c r="AD1" s="1" t="s">
        <v>148</v>
      </c>
      <c r="AE1" s="1" t="s">
        <v>137</v>
      </c>
    </row>
    <row r="2" spans="1:31" x14ac:dyDescent="0.2">
      <c r="A2" s="13">
        <v>1</v>
      </c>
      <c r="B2" s="14" t="s">
        <v>14</v>
      </c>
      <c r="C2" s="15" t="s">
        <v>125</v>
      </c>
      <c r="D2" s="14" t="s">
        <v>100</v>
      </c>
      <c r="E2" s="14" t="s">
        <v>125</v>
      </c>
      <c r="F2" s="14" t="s">
        <v>110</v>
      </c>
      <c r="G2" s="14" t="s">
        <v>109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</row>
    <row r="3" spans="1:31" x14ac:dyDescent="0.2">
      <c r="A3" s="13">
        <v>2</v>
      </c>
      <c r="B3" s="17" t="s">
        <v>14</v>
      </c>
      <c r="C3" s="18" t="s">
        <v>125</v>
      </c>
      <c r="D3" s="17" t="s">
        <v>96</v>
      </c>
      <c r="E3" s="17" t="s">
        <v>125</v>
      </c>
      <c r="F3" s="17" t="s">
        <v>27</v>
      </c>
      <c r="G3" s="17" t="s">
        <v>109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spans="1:31" x14ac:dyDescent="0.2">
      <c r="A4" s="13">
        <v>3</v>
      </c>
      <c r="B4" s="14" t="s">
        <v>14</v>
      </c>
      <c r="C4" s="15" t="s">
        <v>125</v>
      </c>
      <c r="D4" s="14" t="s">
        <v>103</v>
      </c>
      <c r="E4" s="14" t="s">
        <v>125</v>
      </c>
      <c r="F4" s="14" t="s">
        <v>120</v>
      </c>
      <c r="G4" s="14" t="s">
        <v>109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 x14ac:dyDescent="0.2">
      <c r="A5" s="13">
        <v>4</v>
      </c>
      <c r="B5" s="17" t="s">
        <v>14</v>
      </c>
      <c r="C5" s="18" t="s">
        <v>125</v>
      </c>
      <c r="D5" s="17" t="s">
        <v>151</v>
      </c>
      <c r="E5" s="17" t="s">
        <v>125</v>
      </c>
      <c r="F5" s="17" t="s">
        <v>76</v>
      </c>
      <c r="G5" s="17" t="s">
        <v>109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spans="1:31" x14ac:dyDescent="0.2">
      <c r="A6" s="13">
        <v>5</v>
      </c>
      <c r="B6" s="14" t="s">
        <v>37</v>
      </c>
      <c r="C6" s="15" t="s">
        <v>125</v>
      </c>
      <c r="D6" s="14" t="s">
        <v>5</v>
      </c>
      <c r="E6" s="14" t="s">
        <v>125</v>
      </c>
      <c r="F6" s="14" t="s">
        <v>16</v>
      </c>
      <c r="G6" s="14" t="s">
        <v>109</v>
      </c>
      <c r="H6" s="16">
        <v>3.3103738400664398E-2</v>
      </c>
      <c r="I6" s="16">
        <v>4.1280626360221499E-2</v>
      </c>
      <c r="J6" s="16">
        <v>1.65568216815523E-2</v>
      </c>
      <c r="K6" s="16">
        <v>1.97052059417845</v>
      </c>
      <c r="L6" s="16">
        <v>7.4323161665596105E-2</v>
      </c>
      <c r="M6" s="16">
        <v>4.6005282430977699E-2</v>
      </c>
      <c r="N6" s="16">
        <v>0.12643755134502199</v>
      </c>
      <c r="O6" s="16">
        <v>4.7215743814691701E-2</v>
      </c>
      <c r="P6" s="16">
        <v>1.68548611260021E-2</v>
      </c>
      <c r="Q6" s="16">
        <v>7.4047695492499205E-2</v>
      </c>
      <c r="R6" s="16">
        <v>6.1575779502869701E-2</v>
      </c>
      <c r="S6" s="16">
        <v>0.132534929954224</v>
      </c>
      <c r="T6" s="16">
        <v>8.0721531046311495E-2</v>
      </c>
      <c r="U6" s="16">
        <v>0.19014442431411999</v>
      </c>
      <c r="V6" s="16">
        <v>5.6307735191090801E-2</v>
      </c>
      <c r="W6" s="16">
        <v>7.0487314369320195E-2</v>
      </c>
      <c r="X6" s="16">
        <v>0.15098846592336901</v>
      </c>
      <c r="Y6" s="16">
        <v>0.105877653973804</v>
      </c>
      <c r="Z6" s="16">
        <v>3.78264368054506E-2</v>
      </c>
      <c r="AA6" s="16">
        <v>2.3549008534285099E-2</v>
      </c>
      <c r="AB6" s="16">
        <v>5.30497785378055E-2</v>
      </c>
      <c r="AC6" s="16">
        <v>2.2798023671913799E-2</v>
      </c>
      <c r="AD6" s="16">
        <v>4.78825854015206E-2</v>
      </c>
      <c r="AE6" s="16">
        <v>6.9226197602647501E-3</v>
      </c>
    </row>
    <row r="7" spans="1:31" x14ac:dyDescent="0.2">
      <c r="A7" s="13">
        <v>6</v>
      </c>
      <c r="B7" s="17" t="s">
        <v>50</v>
      </c>
      <c r="C7" s="18" t="s">
        <v>125</v>
      </c>
      <c r="D7" s="17" t="s">
        <v>34</v>
      </c>
      <c r="E7" s="17" t="s">
        <v>125</v>
      </c>
      <c r="F7" s="17" t="s">
        <v>142</v>
      </c>
      <c r="G7" s="17" t="s">
        <v>109</v>
      </c>
      <c r="H7" s="19">
        <v>1.8064323972863901E-2</v>
      </c>
      <c r="I7" s="19">
        <v>4.1600602781651799E-2</v>
      </c>
      <c r="J7" s="19">
        <v>2.31450011632406E-2</v>
      </c>
      <c r="K7" s="19">
        <v>0.305396505167503</v>
      </c>
      <c r="L7" s="19">
        <v>6.1935214183600297E-2</v>
      </c>
      <c r="M7" s="19">
        <v>3.2559257286555503E-2</v>
      </c>
      <c r="N7" s="19">
        <v>5.1748649422566802E-2</v>
      </c>
      <c r="O7" s="19">
        <v>5.0154700043273201E-2</v>
      </c>
      <c r="P7" s="19">
        <v>1.8983049659141899E-2</v>
      </c>
      <c r="Q7" s="19">
        <v>5.6919848504064403E-2</v>
      </c>
      <c r="R7" s="19">
        <v>6.0779918129731499E-2</v>
      </c>
      <c r="S7" s="19">
        <v>1.4411984649893E-2</v>
      </c>
      <c r="T7" s="19">
        <v>9.9218577697103003E-2</v>
      </c>
      <c r="U7" s="19">
        <v>0.13309384550888501</v>
      </c>
      <c r="V7" s="19">
        <v>6.1310370944724399E-2</v>
      </c>
      <c r="W7" s="19">
        <v>7.5759931388698798E-2</v>
      </c>
      <c r="X7" s="19">
        <v>5.1913795834680199E-2</v>
      </c>
      <c r="Y7" s="19">
        <v>7.8107854491184903E-2</v>
      </c>
      <c r="Z7" s="19">
        <v>5.3396207898494703E-2</v>
      </c>
      <c r="AA7" s="19">
        <v>1.9352823878956E-2</v>
      </c>
      <c r="AB7" s="19">
        <v>5.7956690977734697E-2</v>
      </c>
      <c r="AC7" s="19">
        <v>1.15867766478896E-2</v>
      </c>
      <c r="AD7" s="19">
        <v>3.2696711169165199E-2</v>
      </c>
      <c r="AE7" s="19">
        <v>1.3246931312629599E-2</v>
      </c>
    </row>
    <row r="8" spans="1:31" x14ac:dyDescent="0.2">
      <c r="A8" s="13">
        <v>7</v>
      </c>
      <c r="B8" s="14" t="s">
        <v>41</v>
      </c>
      <c r="C8" s="15" t="s">
        <v>125</v>
      </c>
      <c r="D8" s="14" t="s">
        <v>60</v>
      </c>
      <c r="E8" s="14" t="s">
        <v>125</v>
      </c>
      <c r="F8" s="14" t="s">
        <v>126</v>
      </c>
      <c r="G8" s="14" t="s">
        <v>109</v>
      </c>
      <c r="H8" s="16">
        <v>1.85665255266497E-2</v>
      </c>
      <c r="I8" s="16">
        <v>4.0513900909798499E-2</v>
      </c>
      <c r="J8" s="16">
        <v>2.3838402825220199E-2</v>
      </c>
      <c r="K8" s="16">
        <v>6.1633365722738698E-2</v>
      </c>
      <c r="L8" s="16">
        <v>3.7001172527511603E-2</v>
      </c>
      <c r="M8" s="16">
        <v>3.9711730088626301E-2</v>
      </c>
      <c r="N8" s="16">
        <v>1.4835184424768701E-2</v>
      </c>
      <c r="O8" s="16">
        <v>4.4028371919805E-2</v>
      </c>
      <c r="P8" s="16">
        <v>2.70617515313713E-2</v>
      </c>
      <c r="Q8" s="16">
        <v>4.7768148930976299E-2</v>
      </c>
      <c r="R8" s="16">
        <v>5.36710552347716E-2</v>
      </c>
      <c r="S8" s="16">
        <v>2.02274241672653E-2</v>
      </c>
      <c r="T8" s="16">
        <v>8.7556228845433501E-2</v>
      </c>
      <c r="U8" s="16">
        <v>7.2320413002620307E-2</v>
      </c>
      <c r="V8" s="16">
        <v>5.7447901154285302E-2</v>
      </c>
      <c r="W8" s="16">
        <v>6.6777467332000906E-2</v>
      </c>
      <c r="X8" s="16">
        <v>4.5147153007841202E-2</v>
      </c>
      <c r="Y8" s="16">
        <v>7.4940887760689995E-2</v>
      </c>
      <c r="Z8" s="16">
        <v>0.11556225325738</v>
      </c>
      <c r="AA8" s="16">
        <v>2.7301287690042499E-2</v>
      </c>
      <c r="AB8" s="16">
        <v>4.0248934088547302E-2</v>
      </c>
      <c r="AC8" s="16">
        <v>3.10841631610164E-2</v>
      </c>
      <c r="AD8" s="16">
        <v>6.2639154798672297E-2</v>
      </c>
      <c r="AE8" s="16">
        <v>1.85176450754851E-2</v>
      </c>
    </row>
    <row r="9" spans="1:31" x14ac:dyDescent="0.2">
      <c r="A9" s="13">
        <v>8</v>
      </c>
      <c r="B9" s="17" t="s">
        <v>98</v>
      </c>
      <c r="C9" s="18" t="s">
        <v>125</v>
      </c>
      <c r="D9" s="17" t="s">
        <v>86</v>
      </c>
      <c r="E9" s="17" t="s">
        <v>125</v>
      </c>
      <c r="F9" s="17" t="s">
        <v>94</v>
      </c>
      <c r="G9" s="17" t="s">
        <v>109</v>
      </c>
      <c r="H9" s="19">
        <v>2.8962640057229799E-2</v>
      </c>
      <c r="I9" s="19">
        <v>3.3589423586713997E-2</v>
      </c>
      <c r="J9" s="19">
        <v>6.0015169781359401E-2</v>
      </c>
      <c r="K9" s="19">
        <v>1.8621970265362799E-2</v>
      </c>
      <c r="L9" s="19">
        <v>5.1266290358425601E-2</v>
      </c>
      <c r="M9" s="19">
        <v>4.28041762302169E-2</v>
      </c>
      <c r="N9" s="19">
        <v>3.5364004616480697E-2</v>
      </c>
      <c r="O9" s="19">
        <v>3.27728055559399E-2</v>
      </c>
      <c r="P9" s="19">
        <v>2.7756783076593201E-2</v>
      </c>
      <c r="Q9" s="19">
        <v>4.4052330184786999E-2</v>
      </c>
      <c r="R9" s="19">
        <v>6.3980538807341905E-2</v>
      </c>
      <c r="S9" s="19">
        <v>0.101299680018299</v>
      </c>
      <c r="T9" s="19">
        <v>2.3859108960239201E-2</v>
      </c>
      <c r="U9" s="19">
        <v>9.51424349834845E-2</v>
      </c>
      <c r="V9" s="19">
        <v>4.91102786483699E-2</v>
      </c>
      <c r="W9" s="19">
        <v>6.4822327306225405E-2</v>
      </c>
      <c r="X9" s="19">
        <v>7.8842884844414193E-2</v>
      </c>
      <c r="Y9" s="19">
        <v>3.3375366814090299E-2</v>
      </c>
      <c r="Z9" s="19">
        <v>2.6946789617425301E-2</v>
      </c>
      <c r="AA9" s="19">
        <v>5.4879629078717601E-2</v>
      </c>
      <c r="AB9" s="19">
        <v>4.8375126976020297E-2</v>
      </c>
      <c r="AC9" s="19">
        <v>2.1293926164507999E-2</v>
      </c>
      <c r="AD9" s="19">
        <v>3.6940388552819899E-2</v>
      </c>
      <c r="AE9" s="19">
        <v>5.4136174109637003E-2</v>
      </c>
    </row>
    <row r="10" spans="1:31" x14ac:dyDescent="0.2">
      <c r="A10" s="13">
        <v>9</v>
      </c>
      <c r="B10" s="14" t="s">
        <v>3</v>
      </c>
      <c r="C10" s="15" t="s">
        <v>125</v>
      </c>
      <c r="D10" s="14" t="s">
        <v>35</v>
      </c>
      <c r="E10" s="14" t="s">
        <v>125</v>
      </c>
      <c r="F10" s="14" t="s">
        <v>71</v>
      </c>
      <c r="G10" s="14" t="s">
        <v>109</v>
      </c>
      <c r="H10" s="16">
        <v>1.46731043124379E-2</v>
      </c>
      <c r="I10" s="16">
        <v>4.24513567311149E-2</v>
      </c>
      <c r="J10" s="16">
        <v>2.6670426883763799E-2</v>
      </c>
      <c r="K10" s="16">
        <v>3.06344596435527E-2</v>
      </c>
      <c r="L10" s="16">
        <v>5.7605839302499198E-2</v>
      </c>
      <c r="M10" s="16">
        <v>3.2431747907891002E-2</v>
      </c>
      <c r="N10" s="16">
        <v>2.4500975859077699E-2</v>
      </c>
      <c r="O10" s="16">
        <v>5.21150599479012E-2</v>
      </c>
      <c r="P10" s="16">
        <v>1.1873884206648E-2</v>
      </c>
      <c r="Q10" s="16">
        <v>5.5677209857641602E-2</v>
      </c>
      <c r="R10" s="16">
        <v>7.2976428454757394E-2</v>
      </c>
      <c r="S10" s="16">
        <v>3.1573980372513098E-2</v>
      </c>
      <c r="T10" s="16">
        <v>6.61954581981017E-2</v>
      </c>
      <c r="U10" s="16">
        <v>8.7898027066004802E-2</v>
      </c>
      <c r="V10" s="16">
        <v>4.8616358103537802E-2</v>
      </c>
      <c r="W10" s="16">
        <v>7.2956520065750596E-2</v>
      </c>
      <c r="X10" s="16">
        <v>1.6013593819802999E-2</v>
      </c>
      <c r="Y10" s="16">
        <v>5.7737004359217602E-2</v>
      </c>
      <c r="Z10" s="16">
        <v>3.3402162669451403E-2</v>
      </c>
      <c r="AA10" s="16">
        <v>3.20304129292555E-2</v>
      </c>
      <c r="AB10" s="16">
        <v>4.9979263151112299E-2</v>
      </c>
      <c r="AC10" s="16">
        <v>9.5452410862101097E-3</v>
      </c>
      <c r="AD10" s="16">
        <v>3.8753395739587998E-2</v>
      </c>
      <c r="AE10" s="16">
        <v>1.9499725248252602E-2</v>
      </c>
    </row>
    <row r="11" spans="1:31" x14ac:dyDescent="0.2">
      <c r="A11" s="13">
        <v>10</v>
      </c>
      <c r="B11" s="17" t="s">
        <v>84</v>
      </c>
      <c r="C11" s="18" t="s">
        <v>125</v>
      </c>
      <c r="D11" s="17" t="s">
        <v>155</v>
      </c>
      <c r="E11" s="17" t="s">
        <v>125</v>
      </c>
      <c r="F11" s="17" t="s">
        <v>145</v>
      </c>
      <c r="G11" s="17" t="s">
        <v>109</v>
      </c>
      <c r="H11" s="19">
        <v>1.19466099650729E-2</v>
      </c>
      <c r="I11" s="19">
        <v>2.4307244314762499E-2</v>
      </c>
      <c r="J11" s="19">
        <v>2.4389076677838999E-2</v>
      </c>
      <c r="K11" s="19">
        <v>4.2565720677356797E-2</v>
      </c>
      <c r="L11" s="19">
        <v>5.63391917775551E-2</v>
      </c>
      <c r="M11" s="19">
        <v>2.23191661592601E-2</v>
      </c>
      <c r="N11" s="19">
        <v>1.0019612882710501E-2</v>
      </c>
      <c r="O11" s="19">
        <v>4.4100320559277102E-2</v>
      </c>
      <c r="P11" s="19">
        <v>1.6253698192004298E-2</v>
      </c>
      <c r="Q11" s="19">
        <v>5.58046011730845E-2</v>
      </c>
      <c r="R11" s="19">
        <v>5.6799896310395198E-2</v>
      </c>
      <c r="S11" s="19">
        <v>1.9829038720701301E-2</v>
      </c>
      <c r="T11" s="19">
        <v>6.9746034775429899E-2</v>
      </c>
      <c r="U11" s="19">
        <v>7.4220580844987796E-2</v>
      </c>
      <c r="V11" s="19">
        <v>4.4014506225991797E-2</v>
      </c>
      <c r="W11" s="19">
        <v>6.63251020409025E-2</v>
      </c>
      <c r="X11" s="19">
        <v>2.2089682108014201E-2</v>
      </c>
      <c r="Y11" s="19">
        <v>6.6395506201156307E-2</v>
      </c>
      <c r="Z11" s="19">
        <v>3.1075499605302301E-2</v>
      </c>
      <c r="AA11" s="19">
        <v>1.09528332601546E-2</v>
      </c>
      <c r="AB11" s="19">
        <v>4.0613180836248701E-2</v>
      </c>
      <c r="AC11" s="19">
        <v>1.38378285445575E-2</v>
      </c>
      <c r="AD11" s="19">
        <v>3.7174108575753297E-2</v>
      </c>
      <c r="AE11" s="19">
        <v>9.3590656216637393E-3</v>
      </c>
    </row>
    <row r="12" spans="1:31" x14ac:dyDescent="0.2">
      <c r="A12" s="13">
        <v>12</v>
      </c>
      <c r="B12" s="17" t="s">
        <v>52</v>
      </c>
      <c r="C12" s="18" t="s">
        <v>125</v>
      </c>
      <c r="D12" s="17" t="s">
        <v>53</v>
      </c>
      <c r="E12" s="17" t="s">
        <v>125</v>
      </c>
      <c r="F12" s="17" t="s">
        <v>129</v>
      </c>
      <c r="G12" s="17" t="s">
        <v>109</v>
      </c>
      <c r="H12" s="19">
        <v>0.10258378988189901</v>
      </c>
      <c r="I12" s="19">
        <v>0.15286720481968699</v>
      </c>
      <c r="J12" s="19">
        <v>0.14900262080794599</v>
      </c>
      <c r="K12" s="19">
        <v>0.75964234276796505</v>
      </c>
      <c r="L12" s="19">
        <v>9.7259669707506505E-2</v>
      </c>
      <c r="M12" s="19">
        <v>0.133078603981027</v>
      </c>
      <c r="N12" s="19">
        <v>0.15741870429457999</v>
      </c>
      <c r="O12" s="19">
        <v>3.9800816664939703E-2</v>
      </c>
      <c r="P12" s="19">
        <v>0.16618640925953901</v>
      </c>
      <c r="Q12" s="19">
        <v>0.11151170112643501</v>
      </c>
      <c r="R12" s="19">
        <v>0.13962687552077299</v>
      </c>
      <c r="S12" s="19">
        <v>3.7429794221538302</v>
      </c>
      <c r="T12" s="19">
        <v>2.5344356290135601E-2</v>
      </c>
      <c r="U12" s="19">
        <v>9.7058394546118296E-2</v>
      </c>
      <c r="V12" s="19">
        <v>6.7819912178089803E-2</v>
      </c>
      <c r="W12" s="19">
        <v>0.113101273384108</v>
      </c>
      <c r="X12" s="19">
        <v>0.33749312952095301</v>
      </c>
      <c r="Y12" s="19">
        <v>1.5351326534513401E-2</v>
      </c>
      <c r="Z12" s="19">
        <v>8.2993277571256699E-2</v>
      </c>
      <c r="AA12" s="19">
        <v>0.110138812900669</v>
      </c>
      <c r="AB12" s="19">
        <v>8.3158349885216004E-2</v>
      </c>
      <c r="AC12" s="19">
        <v>9.6054872354863402E-2</v>
      </c>
      <c r="AD12" s="19">
        <v>0.102845233830726</v>
      </c>
      <c r="AE12" s="19">
        <v>9.1903179458681705E-2</v>
      </c>
    </row>
    <row r="13" spans="1:31" x14ac:dyDescent="0.2">
      <c r="A13" s="13">
        <v>13</v>
      </c>
      <c r="B13" s="14" t="s">
        <v>78</v>
      </c>
      <c r="C13" s="15" t="s">
        <v>125</v>
      </c>
      <c r="D13" s="14" t="s">
        <v>6</v>
      </c>
      <c r="E13" s="14" t="s">
        <v>125</v>
      </c>
      <c r="F13" s="14" t="s">
        <v>4</v>
      </c>
      <c r="G13" s="14" t="s">
        <v>109</v>
      </c>
      <c r="H13" s="16">
        <v>1.04174676996795E-2</v>
      </c>
      <c r="I13" s="16">
        <v>0.51208547938369398</v>
      </c>
      <c r="J13" s="16">
        <v>1.1434743408052299E-2</v>
      </c>
      <c r="K13" s="16">
        <v>2.88487236851573</v>
      </c>
      <c r="L13" s="16">
        <v>0.17033087356491</v>
      </c>
      <c r="M13" s="16">
        <v>0.44047021601307301</v>
      </c>
      <c r="N13" s="16">
        <v>0.25111943699639999</v>
      </c>
      <c r="O13" s="16">
        <v>2.2396617893034501E-2</v>
      </c>
      <c r="P13" s="16">
        <v>0.15342919776963401</v>
      </c>
      <c r="Q13" s="16">
        <v>0.102160890283977</v>
      </c>
      <c r="R13" s="16">
        <v>6.0403332145541597E-2</v>
      </c>
      <c r="S13" s="16">
        <v>0.30043607733816602</v>
      </c>
      <c r="T13" s="16">
        <v>6.9729880979911701E-2</v>
      </c>
      <c r="U13" s="16">
        <v>2.3063630253614201E-3</v>
      </c>
      <c r="V13" s="16">
        <v>3.5923155284000703E-2</v>
      </c>
      <c r="W13" s="16">
        <v>0.45216275119392002</v>
      </c>
      <c r="X13" s="16">
        <v>0.96370176681319697</v>
      </c>
      <c r="Y13" s="16">
        <v>4.0256937839814398E-2</v>
      </c>
      <c r="Z13" s="16">
        <v>0.107268562376622</v>
      </c>
      <c r="AA13" s="16">
        <v>6.5315434684721396E-2</v>
      </c>
      <c r="AB13" s="16">
        <v>6.6680919522215706E-2</v>
      </c>
      <c r="AC13" s="16">
        <v>8.0867238076127404E-2</v>
      </c>
      <c r="AD13" s="16">
        <v>0.117044952779461</v>
      </c>
      <c r="AE13" s="16">
        <v>9.9792305645730203E-2</v>
      </c>
    </row>
    <row r="14" spans="1:31" x14ac:dyDescent="0.2">
      <c r="A14" s="13">
        <v>14</v>
      </c>
      <c r="B14" s="17" t="s">
        <v>72</v>
      </c>
      <c r="C14" s="18" t="s">
        <v>125</v>
      </c>
      <c r="D14" s="17" t="s">
        <v>107</v>
      </c>
      <c r="E14" s="17" t="s">
        <v>125</v>
      </c>
      <c r="F14" s="17" t="s">
        <v>31</v>
      </c>
      <c r="G14" s="17" t="s">
        <v>109</v>
      </c>
      <c r="H14" s="19">
        <v>1.15723078414403E-2</v>
      </c>
      <c r="I14" s="19">
        <v>3.5783752913928699E-2</v>
      </c>
      <c r="J14" s="19">
        <v>4.3835574466479697E-2</v>
      </c>
      <c r="K14" s="19">
        <v>4.6602210751285199E-2</v>
      </c>
      <c r="L14" s="19">
        <v>4.7522814418463101E-2</v>
      </c>
      <c r="M14" s="19">
        <v>1.0960832886253101E-2</v>
      </c>
      <c r="N14" s="19">
        <v>1.9466645524575901E-2</v>
      </c>
      <c r="O14" s="19">
        <v>4.48768536946701E-2</v>
      </c>
      <c r="P14" s="19">
        <v>2.9978940902386101E-3</v>
      </c>
      <c r="Q14" s="19">
        <v>5.0006720905325701E-2</v>
      </c>
      <c r="R14" s="19">
        <v>8.1154020010521605E-2</v>
      </c>
      <c r="S14" s="19">
        <v>7.7908452571758505E-2</v>
      </c>
      <c r="T14" s="19">
        <v>5.79787775259588E-2</v>
      </c>
      <c r="U14" s="19">
        <v>7.2567251783932404E-2</v>
      </c>
      <c r="V14" s="19">
        <v>3.2965186585711299E-2</v>
      </c>
      <c r="W14" s="19">
        <v>0.10313805228591</v>
      </c>
      <c r="X14" s="19">
        <v>4.6391212919408301E-2</v>
      </c>
      <c r="Y14" s="19">
        <v>5.2065703114477301E-2</v>
      </c>
      <c r="Z14" s="19">
        <v>2.9496310256923602E-2</v>
      </c>
      <c r="AA14" s="19">
        <v>3.5765614609822E-2</v>
      </c>
      <c r="AB14" s="19">
        <v>4.4208758471538802E-2</v>
      </c>
      <c r="AC14" s="19">
        <v>5.7286174037898298E-3</v>
      </c>
      <c r="AD14" s="19">
        <v>5.61606710222326E-2</v>
      </c>
      <c r="AE14" s="19">
        <v>4.2091931272104699E-2</v>
      </c>
    </row>
    <row r="15" spans="1:31" x14ac:dyDescent="0.2">
      <c r="A15" s="13">
        <v>15</v>
      </c>
      <c r="B15" s="14" t="s">
        <v>11</v>
      </c>
      <c r="C15" s="15" t="s">
        <v>125</v>
      </c>
      <c r="D15" s="14" t="s">
        <v>59</v>
      </c>
      <c r="E15" s="14" t="s">
        <v>125</v>
      </c>
      <c r="F15" s="14" t="s">
        <v>104</v>
      </c>
      <c r="G15" s="14" t="s">
        <v>109</v>
      </c>
      <c r="H15" s="16">
        <v>0.17612015314305601</v>
      </c>
      <c r="I15" s="16">
        <v>7.1421581054481306E-2</v>
      </c>
      <c r="J15" s="16">
        <v>1.6832755841941299E-2</v>
      </c>
      <c r="K15" s="16">
        <v>0.63523388438116901</v>
      </c>
      <c r="L15" s="16">
        <v>0.203270669271365</v>
      </c>
      <c r="M15" s="16">
        <v>10.5707398864935</v>
      </c>
      <c r="N15" s="16">
        <v>0.57675025807186997</v>
      </c>
      <c r="O15" s="16">
        <v>0.256407352765948</v>
      </c>
      <c r="P15" s="16">
        <v>0.21635610494488899</v>
      </c>
      <c r="Q15" s="16">
        <v>0.77888461688714605</v>
      </c>
      <c r="R15" s="16">
        <v>4.3700559312445403E-2</v>
      </c>
      <c r="S15" s="16">
        <v>172.989623221469</v>
      </c>
      <c r="T15" s="16">
        <v>0.10969510423602399</v>
      </c>
      <c r="U15" s="16">
        <v>1.08919930863304</v>
      </c>
      <c r="V15" s="16">
        <v>5.424423016563E-2</v>
      </c>
      <c r="W15" s="16">
        <v>0.269195047924631</v>
      </c>
      <c r="X15" s="16">
        <v>0.14839422581575701</v>
      </c>
      <c r="Y15" s="16">
        <v>0.15564799079789601</v>
      </c>
      <c r="Z15" s="16">
        <v>9.8843169636633095E-3</v>
      </c>
      <c r="AA15" s="16">
        <v>1.47300820222536E-2</v>
      </c>
      <c r="AB15" s="16">
        <v>7.0799483006669994E-2</v>
      </c>
      <c r="AC15" s="16">
        <v>6.8825040031651394E-2</v>
      </c>
      <c r="AD15" s="16">
        <v>7.2611133798053007E-2</v>
      </c>
      <c r="AE15" s="16">
        <v>0.106490842575168</v>
      </c>
    </row>
    <row r="16" spans="1:31" x14ac:dyDescent="0.2">
      <c r="A16" s="13">
        <v>16</v>
      </c>
      <c r="B16" s="17" t="s">
        <v>49</v>
      </c>
      <c r="C16" s="18" t="s">
        <v>125</v>
      </c>
      <c r="D16" s="17" t="s">
        <v>143</v>
      </c>
      <c r="E16" s="17" t="s">
        <v>125</v>
      </c>
      <c r="F16" s="17" t="s">
        <v>48</v>
      </c>
      <c r="G16" s="17" t="s">
        <v>109</v>
      </c>
      <c r="H16" s="19">
        <v>0.11531849460250899</v>
      </c>
      <c r="I16" s="19">
        <v>0.142873498825934</v>
      </c>
      <c r="J16" s="19">
        <v>7.2730058774818293E-2</v>
      </c>
      <c r="K16" s="19">
        <v>0.61853824681576997</v>
      </c>
      <c r="L16" s="19">
        <v>0.13349895747865201</v>
      </c>
      <c r="M16" s="19">
        <v>0.83083744284379202</v>
      </c>
      <c r="N16" s="19">
        <v>4.55102000510124E-3</v>
      </c>
      <c r="O16" s="19">
        <v>4.77748226141535E-2</v>
      </c>
      <c r="P16" s="19">
        <v>1.8237903430296101E-2</v>
      </c>
      <c r="Q16" s="19">
        <v>1.5500389433258099E-2</v>
      </c>
      <c r="R16" s="19">
        <v>0.33750438061860499</v>
      </c>
      <c r="S16" s="19">
        <v>1.1609724330996301</v>
      </c>
      <c r="T16" s="19">
        <v>2.9412135190292399E-2</v>
      </c>
      <c r="U16" s="19">
        <v>0.30077031024431899</v>
      </c>
      <c r="V16" s="19">
        <v>0.208138456208949</v>
      </c>
      <c r="W16" s="19">
        <v>9.7000618315287307E-2</v>
      </c>
      <c r="X16" s="19">
        <v>1.0477885813196901</v>
      </c>
      <c r="Y16" s="19">
        <v>9.6083562417953405E-2</v>
      </c>
      <c r="Z16" s="19">
        <v>0.21680636967327299</v>
      </c>
      <c r="AA16" s="19">
        <v>0.117212858115971</v>
      </c>
      <c r="AB16" s="19">
        <v>0.21610334734259401</v>
      </c>
      <c r="AC16" s="19">
        <v>0.103568898167225</v>
      </c>
      <c r="AD16" s="19">
        <v>8.2147397483087095E-2</v>
      </c>
      <c r="AE16" s="19">
        <v>0.153687524793958</v>
      </c>
    </row>
    <row r="17" spans="1:31" x14ac:dyDescent="0.2">
      <c r="A17" s="13">
        <v>17</v>
      </c>
      <c r="B17" s="14" t="s">
        <v>78</v>
      </c>
      <c r="C17" s="15" t="s">
        <v>125</v>
      </c>
      <c r="D17" s="14" t="s">
        <v>23</v>
      </c>
      <c r="E17" s="14" t="s">
        <v>125</v>
      </c>
      <c r="F17" s="14" t="s">
        <v>29</v>
      </c>
      <c r="G17" s="14" t="s">
        <v>109</v>
      </c>
      <c r="H17" s="16">
        <v>0.34178105674478598</v>
      </c>
      <c r="I17" s="16">
        <v>8.3151875703636193</v>
      </c>
      <c r="J17" s="16">
        <v>0.17668414938868199</v>
      </c>
      <c r="K17" s="16">
        <v>2.0127303985130198</v>
      </c>
      <c r="L17" s="16">
        <v>0.56644266731886606</v>
      </c>
      <c r="M17" s="16">
        <v>0.25010499371987899</v>
      </c>
      <c r="N17" s="16">
        <v>0.87430089088490404</v>
      </c>
      <c r="O17" s="16">
        <v>0.21066560145721899</v>
      </c>
      <c r="P17" s="16">
        <v>1.40770602754746E-2</v>
      </c>
      <c r="Q17" s="16">
        <v>0.24638838442316399</v>
      </c>
      <c r="R17" s="16">
        <v>4.3555039806681304</v>
      </c>
      <c r="S17" s="16">
        <v>0.554343537978496</v>
      </c>
      <c r="T17" s="16">
        <v>0.44045699797571902</v>
      </c>
      <c r="U17" s="16">
        <v>1.0179871104801199</v>
      </c>
      <c r="V17" s="16">
        <v>1.42982404296361</v>
      </c>
      <c r="W17" s="16">
        <v>2.3550482413237299</v>
      </c>
      <c r="X17" s="16">
        <v>0.30639457516039398</v>
      </c>
      <c r="Y17" s="16">
        <v>0.67030494357640802</v>
      </c>
      <c r="Z17" s="16">
        <v>0.231077655934914</v>
      </c>
      <c r="AA17" s="16">
        <v>4.5774076755727998E-2</v>
      </c>
      <c r="AB17" s="16">
        <v>0.23344896787204</v>
      </c>
      <c r="AC17" s="16">
        <v>0.108809215529688</v>
      </c>
      <c r="AD17" s="16">
        <v>9.9102731777171604E-2</v>
      </c>
      <c r="AE17" s="16">
        <v>0.15535936277645099</v>
      </c>
    </row>
    <row r="18" spans="1:31" x14ac:dyDescent="0.2">
      <c r="A18" s="13">
        <v>18</v>
      </c>
      <c r="B18" s="17" t="s">
        <v>22</v>
      </c>
      <c r="C18" s="18" t="s">
        <v>125</v>
      </c>
      <c r="D18" s="17" t="s">
        <v>66</v>
      </c>
      <c r="E18" s="17" t="s">
        <v>125</v>
      </c>
      <c r="F18" s="17" t="s">
        <v>68</v>
      </c>
      <c r="G18" s="17" t="s">
        <v>109</v>
      </c>
      <c r="H18" s="19">
        <v>4.0802787930157403E-2</v>
      </c>
      <c r="I18" s="19">
        <v>6.6385919847616104E-2</v>
      </c>
      <c r="J18" s="19">
        <v>4.4054154244885999E-2</v>
      </c>
      <c r="K18" s="19">
        <v>14.795175865146501</v>
      </c>
      <c r="L18" s="19">
        <v>0.109512577139391</v>
      </c>
      <c r="M18" s="19">
        <v>6.9563032918073905E-2</v>
      </c>
      <c r="N18" s="19">
        <v>3.22582072608672E-2</v>
      </c>
      <c r="O18" s="19">
        <v>5.2853737384165697E-2</v>
      </c>
      <c r="P18" s="19">
        <v>9.88042398790209E-2</v>
      </c>
      <c r="Q18" s="19">
        <v>8.9975531525521804E-2</v>
      </c>
      <c r="R18" s="19">
        <v>7.4730696301873206E-2</v>
      </c>
      <c r="S18" s="19">
        <v>0.39752357992031001</v>
      </c>
      <c r="T18" s="19">
        <v>6.4516873937009903E-2</v>
      </c>
      <c r="U18" s="19">
        <v>0.35505597637088199</v>
      </c>
      <c r="V18" s="19">
        <v>4.2452020167863098E-2</v>
      </c>
      <c r="W18" s="19">
        <v>9.1998427844028605E-2</v>
      </c>
      <c r="X18" s="19">
        <v>0.130915131479761</v>
      </c>
      <c r="Y18" s="19">
        <v>6.19013800124475E-2</v>
      </c>
      <c r="Z18" s="19">
        <v>3.7640777708704699E-2</v>
      </c>
      <c r="AA18" s="19">
        <v>3.7075689160961302E-2</v>
      </c>
      <c r="AB18" s="19">
        <v>4.73434243224247E-2</v>
      </c>
      <c r="AC18" s="19">
        <v>2.2396737390517799E-2</v>
      </c>
      <c r="AD18" s="19">
        <v>5.0764944738742102E-2</v>
      </c>
      <c r="AE18" s="19">
        <v>2.5229681852441999E-2</v>
      </c>
    </row>
    <row r="19" spans="1:31" x14ac:dyDescent="0.2">
      <c r="A19" s="13">
        <v>19</v>
      </c>
      <c r="B19" s="14" t="s">
        <v>51</v>
      </c>
      <c r="C19" s="15" t="s">
        <v>125</v>
      </c>
      <c r="D19" s="14" t="s">
        <v>115</v>
      </c>
      <c r="E19" s="14" t="s">
        <v>125</v>
      </c>
      <c r="F19" s="14" t="s">
        <v>56</v>
      </c>
      <c r="G19" s="14" t="s">
        <v>109</v>
      </c>
      <c r="H19" s="16">
        <v>2.8781136505086902E-2</v>
      </c>
      <c r="I19" s="16">
        <v>3.25129327695012E-2</v>
      </c>
      <c r="J19" s="16">
        <v>4.4238070332388399E-2</v>
      </c>
      <c r="K19" s="16">
        <v>1.36582992243894E-2</v>
      </c>
      <c r="L19" s="16">
        <v>5.6683779609276903E-2</v>
      </c>
      <c r="M19" s="16">
        <v>3.3005294667638997E-2</v>
      </c>
      <c r="N19" s="16">
        <v>2.03395095269846E-2</v>
      </c>
      <c r="O19" s="16">
        <v>4.2126265638654799E-2</v>
      </c>
      <c r="P19" s="16">
        <v>1.71998858687635E-2</v>
      </c>
      <c r="Q19" s="16">
        <v>6.8370240131986795E-2</v>
      </c>
      <c r="R19" s="16">
        <v>7.6910897535461195E-2</v>
      </c>
      <c r="S19" s="16">
        <v>6.8544745639483901E-2</v>
      </c>
      <c r="T19" s="16">
        <v>2.5617153648972199E-2</v>
      </c>
      <c r="U19" s="16">
        <v>9.6695226670487702E-2</v>
      </c>
      <c r="V19" s="16">
        <v>4.98716703285602E-2</v>
      </c>
      <c r="W19" s="16">
        <v>7.8999385901643598E-2</v>
      </c>
      <c r="X19" s="16">
        <v>3.3457138941162499E-2</v>
      </c>
      <c r="Y19" s="16">
        <v>4.14247084103984E-2</v>
      </c>
      <c r="Z19" s="16">
        <v>2.3765097098413401E-2</v>
      </c>
      <c r="AA19" s="16">
        <v>4.4369732300691599E-2</v>
      </c>
      <c r="AB19" s="16">
        <v>5.1337651838270701E-2</v>
      </c>
      <c r="AC19" s="16">
        <v>2.4891667954831099E-2</v>
      </c>
      <c r="AD19" s="16">
        <v>3.4401844746873897E-2</v>
      </c>
      <c r="AE19" s="16">
        <v>3.7613631648356599E-2</v>
      </c>
    </row>
    <row r="20" spans="1:31" x14ac:dyDescent="0.2">
      <c r="A20" s="13">
        <v>20</v>
      </c>
      <c r="B20" s="17" t="s">
        <v>138</v>
      </c>
      <c r="C20" s="18" t="s">
        <v>125</v>
      </c>
      <c r="D20" s="17" t="s">
        <v>150</v>
      </c>
      <c r="E20" s="17" t="s">
        <v>125</v>
      </c>
      <c r="F20" s="17" t="s">
        <v>85</v>
      </c>
      <c r="G20" s="17" t="s">
        <v>109</v>
      </c>
      <c r="H20" s="19">
        <v>0.17891451090754701</v>
      </c>
      <c r="I20" s="19">
        <v>7.1351739239444503E-2</v>
      </c>
      <c r="J20" s="19">
        <v>5.1496696778606701E-2</v>
      </c>
      <c r="K20" s="19">
        <v>1.34878055844314</v>
      </c>
      <c r="L20" s="19">
        <v>2.2387529179529301E-2</v>
      </c>
      <c r="M20" s="19">
        <v>5.2779839734692402</v>
      </c>
      <c r="N20" s="19">
        <v>0.32417452302668598</v>
      </c>
      <c r="O20" s="19">
        <v>0.20033011339658699</v>
      </c>
      <c r="P20" s="19">
        <v>0.48838485685869598</v>
      </c>
      <c r="Q20" s="19">
        <v>1.56324821581614</v>
      </c>
      <c r="R20" s="19">
        <v>7.6949842829742099E-2</v>
      </c>
      <c r="S20" s="19">
        <v>0.59165729461826599</v>
      </c>
      <c r="T20" s="19">
        <v>6.3613322537821298E-3</v>
      </c>
      <c r="U20" s="19">
        <v>5.7621343100894097E-2</v>
      </c>
      <c r="V20" s="19">
        <v>0.145982476659065</v>
      </c>
      <c r="W20" s="19">
        <v>0.34384417812912399</v>
      </c>
      <c r="X20" s="19">
        <v>0.63043400066394994</v>
      </c>
      <c r="Y20" s="19">
        <v>2.1222042024152701E-2</v>
      </c>
      <c r="Z20" s="19">
        <v>0.14779682051528201</v>
      </c>
      <c r="AA20" s="19">
        <v>5.1556360605426101E-2</v>
      </c>
      <c r="AB20" s="19">
        <v>0.18780746039712801</v>
      </c>
      <c r="AC20" s="19">
        <v>0.153267762728584</v>
      </c>
      <c r="AD20" s="19">
        <v>0.11175108651728501</v>
      </c>
      <c r="AE20" s="19">
        <v>6.0922726130520202E-2</v>
      </c>
    </row>
    <row r="21" spans="1:31" x14ac:dyDescent="0.2">
      <c r="A21" s="13">
        <v>21</v>
      </c>
      <c r="B21" s="14" t="s">
        <v>112</v>
      </c>
      <c r="C21" s="15" t="s">
        <v>125</v>
      </c>
      <c r="D21" s="14" t="s">
        <v>101</v>
      </c>
      <c r="E21" s="14" t="s">
        <v>125</v>
      </c>
      <c r="F21" s="14" t="s">
        <v>152</v>
      </c>
      <c r="G21" s="14" t="s">
        <v>109</v>
      </c>
      <c r="H21" s="16">
        <v>4.3205386376138098E-2</v>
      </c>
      <c r="I21" s="16">
        <v>9.2044553084077899E-2</v>
      </c>
      <c r="J21" s="16">
        <v>4.5589920764834098E-2</v>
      </c>
      <c r="K21" s="16">
        <v>3.8342045553885103E-2</v>
      </c>
      <c r="L21" s="16">
        <v>0.103133253890687</v>
      </c>
      <c r="M21" s="16">
        <v>5.8425665118540401E-2</v>
      </c>
      <c r="N21" s="16">
        <v>6.6624010469276502E-3</v>
      </c>
      <c r="O21" s="16">
        <v>6.2960238440841601E-2</v>
      </c>
      <c r="P21" s="16">
        <v>2.3646524938912201E-3</v>
      </c>
      <c r="Q21" s="16">
        <v>1.3217069548706901E-2</v>
      </c>
      <c r="R21" s="16">
        <v>1.8731831947009201E-2</v>
      </c>
      <c r="S21" s="16">
        <v>1.2486631528513501</v>
      </c>
      <c r="T21" s="16">
        <v>0.53044274895792398</v>
      </c>
      <c r="U21" s="16">
        <v>9.6725556254736197E-4</v>
      </c>
      <c r="V21" s="16">
        <v>6.5938866747419694E-2</v>
      </c>
      <c r="W21" s="16">
        <v>4.6628809105683199E-2</v>
      </c>
      <c r="X21" s="16">
        <v>3.60506328175993</v>
      </c>
      <c r="Y21" s="16">
        <v>0.105563238651127</v>
      </c>
      <c r="Z21" s="16">
        <v>5.9213455045400903E-2</v>
      </c>
      <c r="AA21" s="16">
        <v>7.1168291032444694E-2</v>
      </c>
      <c r="AB21" s="16">
        <v>4.1723628332186201E-2</v>
      </c>
      <c r="AC21" s="16">
        <v>6.0269255320258001E-2</v>
      </c>
      <c r="AD21" s="16">
        <v>5.0959115006683903E-2</v>
      </c>
      <c r="AE21" s="16">
        <v>6.8571719746522E-2</v>
      </c>
    </row>
    <row r="22" spans="1:31" x14ac:dyDescent="0.2">
      <c r="A22" s="13">
        <v>22</v>
      </c>
      <c r="B22" s="17" t="s">
        <v>95</v>
      </c>
      <c r="C22" s="18" t="s">
        <v>125</v>
      </c>
      <c r="D22" s="17" t="s">
        <v>92</v>
      </c>
      <c r="E22" s="17" t="s">
        <v>125</v>
      </c>
      <c r="F22" s="17" t="s">
        <v>124</v>
      </c>
      <c r="G22" s="17" t="s">
        <v>109</v>
      </c>
      <c r="H22" s="19">
        <v>3.7162988387330398E-2</v>
      </c>
      <c r="I22" s="19">
        <v>2.07069498341187E-2</v>
      </c>
      <c r="J22" s="19">
        <v>6.8077595116131706E-2</v>
      </c>
      <c r="K22" s="19">
        <v>8.1943674669567694E-3</v>
      </c>
      <c r="L22" s="19">
        <v>0.110875076150482</v>
      </c>
      <c r="M22" s="19">
        <v>3.1327709951892699E-2</v>
      </c>
      <c r="N22" s="19">
        <v>2.5942367012945299E-2</v>
      </c>
      <c r="O22" s="19">
        <v>5.7395934483947197E-2</v>
      </c>
      <c r="P22" s="19">
        <v>2.37288853888926E-2</v>
      </c>
      <c r="Q22" s="19">
        <v>1.5910592086837601E-2</v>
      </c>
      <c r="R22" s="19">
        <v>0.14181594650663401</v>
      </c>
      <c r="S22" s="19">
        <v>1.1281323873887501</v>
      </c>
      <c r="T22" s="19">
        <v>6.0317937347633098E-2</v>
      </c>
      <c r="U22" s="19">
        <v>2.5767400530580901E-3</v>
      </c>
      <c r="V22" s="19">
        <v>6.4006894629776698E-2</v>
      </c>
      <c r="W22" s="19">
        <v>6.16145061877282E-2</v>
      </c>
      <c r="X22" s="19">
        <v>1.64721211163453</v>
      </c>
      <c r="Y22" s="19">
        <v>0.57580578491587198</v>
      </c>
      <c r="Z22" s="19">
        <v>6.8984121220673295E-2</v>
      </c>
      <c r="AA22" s="19">
        <v>0.15855775193523999</v>
      </c>
      <c r="AB22" s="19">
        <v>0.33979466008713199</v>
      </c>
      <c r="AC22" s="19">
        <v>8.2877741890720294E-2</v>
      </c>
      <c r="AD22" s="19">
        <v>4.7029777967315202E-2</v>
      </c>
      <c r="AE22" s="19">
        <v>3.5734804400432398E-2</v>
      </c>
    </row>
    <row r="23" spans="1:31" x14ac:dyDescent="0.2">
      <c r="A23" s="13">
        <v>23</v>
      </c>
      <c r="B23" s="14" t="s">
        <v>146</v>
      </c>
      <c r="C23" s="15" t="s">
        <v>125</v>
      </c>
      <c r="D23" s="14" t="s">
        <v>136</v>
      </c>
      <c r="E23" s="14" t="s">
        <v>125</v>
      </c>
      <c r="F23" s="14" t="s">
        <v>111</v>
      </c>
      <c r="G23" s="14" t="s">
        <v>109</v>
      </c>
      <c r="H23" s="16">
        <v>1.3633464623947E-2</v>
      </c>
      <c r="I23" s="16">
        <v>4.4887357452486697E-2</v>
      </c>
      <c r="J23" s="16">
        <v>4.7223110355931699E-2</v>
      </c>
      <c r="K23" s="16">
        <v>3.9013547984167E-2</v>
      </c>
      <c r="L23" s="16">
        <v>0.18451216266655601</v>
      </c>
      <c r="M23" s="16">
        <v>1.92071302197994E-2</v>
      </c>
      <c r="N23" s="16">
        <v>3.0829699240238801E-3</v>
      </c>
      <c r="O23" s="16">
        <v>2.8606666492793999E-2</v>
      </c>
      <c r="P23" s="16">
        <v>1.8429518407410899E-2</v>
      </c>
      <c r="Q23" s="16">
        <v>5.3916236250333698E-2</v>
      </c>
      <c r="R23" s="16">
        <v>0.11123142966475</v>
      </c>
      <c r="S23" s="16">
        <v>0.72097896737988199</v>
      </c>
      <c r="T23" s="16">
        <v>0.175662701573535</v>
      </c>
      <c r="U23" s="16">
        <v>4.2252813938016501E-3</v>
      </c>
      <c r="V23" s="16">
        <v>8.2023687959787095E-2</v>
      </c>
      <c r="W23" s="16">
        <v>0.17011111182963401</v>
      </c>
      <c r="X23" s="16">
        <v>0.49866526201245598</v>
      </c>
      <c r="Y23" s="16">
        <v>0.56472552318526203</v>
      </c>
      <c r="Z23" s="16">
        <v>2.12880169885955E-2</v>
      </c>
      <c r="AA23" s="16">
        <v>0.22367149846998599</v>
      </c>
      <c r="AB23" s="16">
        <v>7.9846861852053197E-2</v>
      </c>
      <c r="AC23" s="16">
        <v>3.6313920132802102E-2</v>
      </c>
      <c r="AD23" s="16">
        <v>0.143309174937402</v>
      </c>
      <c r="AE23" s="16">
        <v>3.76050450893535E-2</v>
      </c>
    </row>
    <row r="24" spans="1:31" x14ac:dyDescent="0.2">
      <c r="A24" s="13">
        <v>24</v>
      </c>
      <c r="B24" s="17" t="s">
        <v>113</v>
      </c>
      <c r="C24" s="18" t="s">
        <v>125</v>
      </c>
      <c r="D24" s="17" t="s">
        <v>133</v>
      </c>
      <c r="E24" s="17" t="s">
        <v>125</v>
      </c>
      <c r="F24" s="17" t="s">
        <v>130</v>
      </c>
      <c r="G24" s="17" t="s">
        <v>109</v>
      </c>
      <c r="H24" s="19">
        <v>2.6234307654880801E-2</v>
      </c>
      <c r="I24" s="19">
        <v>4.05574434975597E-2</v>
      </c>
      <c r="J24" s="19">
        <v>6.2275822743275602E-2</v>
      </c>
      <c r="K24" s="19">
        <v>7.4305818003581006E-2</v>
      </c>
      <c r="L24" s="19">
        <v>8.1818476254227404E-2</v>
      </c>
      <c r="M24" s="19">
        <v>2.2019501977328E-2</v>
      </c>
      <c r="N24" s="19">
        <v>6.2269675287675097E-3</v>
      </c>
      <c r="O24" s="19">
        <v>3.3949307554114697E-2</v>
      </c>
      <c r="P24" s="19">
        <v>1.7278418062879699E-3</v>
      </c>
      <c r="Q24" s="19">
        <v>5.4855303670255998E-2</v>
      </c>
      <c r="R24" s="19">
        <v>9.1401603214917804E-2</v>
      </c>
      <c r="S24" s="19">
        <v>0.200821275202441</v>
      </c>
      <c r="T24" s="19">
        <v>0.12805614509645</v>
      </c>
      <c r="U24" s="19">
        <v>7.78524680410656E-3</v>
      </c>
      <c r="V24" s="19">
        <v>5.7438507051243096E-3</v>
      </c>
      <c r="W24" s="19">
        <v>0.18986076726152901</v>
      </c>
      <c r="X24" s="19">
        <v>0.37736668174843502</v>
      </c>
      <c r="Y24" s="19">
        <v>0.80640446541437705</v>
      </c>
      <c r="Z24" s="19">
        <v>2.7025591096254801E-2</v>
      </c>
      <c r="AA24" s="19">
        <v>6.6199706746418299E-2</v>
      </c>
      <c r="AB24" s="19">
        <v>5.0610525417902799E-2</v>
      </c>
      <c r="AC24" s="19">
        <v>1.9500622322198902E-2</v>
      </c>
      <c r="AD24" s="19">
        <v>7.6249395749892701E-2</v>
      </c>
      <c r="AE24" s="19">
        <v>5.6693798201903199E-2</v>
      </c>
    </row>
    <row r="25" spans="1:31" x14ac:dyDescent="0.2">
      <c r="A25" s="13">
        <v>25</v>
      </c>
      <c r="B25" s="14" t="s">
        <v>8</v>
      </c>
      <c r="C25" s="15" t="s">
        <v>125</v>
      </c>
      <c r="D25" s="14" t="s">
        <v>135</v>
      </c>
      <c r="E25" s="14" t="s">
        <v>125</v>
      </c>
      <c r="F25" s="14" t="s">
        <v>74</v>
      </c>
      <c r="G25" s="14" t="s">
        <v>109</v>
      </c>
      <c r="H25" s="16">
        <v>1.9148693155375901E-2</v>
      </c>
      <c r="I25" s="16">
        <v>2.7962434700552E-2</v>
      </c>
      <c r="J25" s="16">
        <v>1.9836597351309999E-2</v>
      </c>
      <c r="K25" s="16">
        <v>7.6601765923283896E-2</v>
      </c>
      <c r="L25" s="16">
        <v>0.108835707927214</v>
      </c>
      <c r="M25" s="20" t="s">
        <v>24</v>
      </c>
      <c r="N25" s="16">
        <v>1.87294304057311E-2</v>
      </c>
      <c r="O25" s="16">
        <v>4.9663783586566201E-2</v>
      </c>
      <c r="P25" s="16">
        <v>2.4744362616456301E-3</v>
      </c>
      <c r="Q25" s="16">
        <v>5.9050846181627301E-2</v>
      </c>
      <c r="R25" s="16">
        <v>6.3380132324125593E-2</v>
      </c>
      <c r="S25" s="16">
        <v>1.4020371128514399</v>
      </c>
      <c r="T25" s="16">
        <v>0.28900862655200599</v>
      </c>
      <c r="U25" s="16">
        <v>5.7109998210914097E-3</v>
      </c>
      <c r="V25" s="16">
        <v>3.9188445797447499E-2</v>
      </c>
      <c r="W25" s="16">
        <v>8.6447694440224696E-2</v>
      </c>
      <c r="X25" s="16">
        <v>0.52925961486360695</v>
      </c>
      <c r="Y25" s="16">
        <v>0.32084348803669399</v>
      </c>
      <c r="Z25" s="16">
        <v>3.3346026711989003E-2</v>
      </c>
      <c r="AA25" s="16">
        <v>3.2681741781657399E-2</v>
      </c>
      <c r="AB25" s="16">
        <v>3.05606177748113E-2</v>
      </c>
      <c r="AC25" s="16">
        <v>2.6778422435277598E-2</v>
      </c>
      <c r="AD25" s="16">
        <v>5.1428245694954501E-2</v>
      </c>
      <c r="AE25" s="16">
        <v>4.0226948545790203E-2</v>
      </c>
    </row>
    <row r="26" spans="1:31" x14ac:dyDescent="0.2">
      <c r="A26" s="13">
        <v>26</v>
      </c>
      <c r="B26" s="17" t="s">
        <v>97</v>
      </c>
      <c r="C26" s="18" t="s">
        <v>125</v>
      </c>
      <c r="D26" s="17" t="s">
        <v>105</v>
      </c>
      <c r="E26" s="17" t="s">
        <v>125</v>
      </c>
      <c r="F26" s="17" t="s">
        <v>15</v>
      </c>
      <c r="G26" s="17" t="s">
        <v>109</v>
      </c>
      <c r="H26" s="19">
        <v>2.73252695223959E-2</v>
      </c>
      <c r="I26" s="19">
        <v>1.8096707541106601E-2</v>
      </c>
      <c r="J26" s="19">
        <v>5.7582952151564899E-2</v>
      </c>
      <c r="K26" s="19">
        <v>2.96791210644421E-2</v>
      </c>
      <c r="L26" s="19">
        <v>5.87612679018224E-2</v>
      </c>
      <c r="M26" s="19">
        <v>1.1669658489308E-2</v>
      </c>
      <c r="N26" s="19">
        <v>8.6662969659002508E-3</v>
      </c>
      <c r="O26" s="19">
        <v>1.27177663668768E-2</v>
      </c>
      <c r="P26" s="19">
        <v>2.2678001923526502E-2</v>
      </c>
      <c r="Q26" s="19">
        <v>5.5638094962341803E-2</v>
      </c>
      <c r="R26" s="19">
        <v>3.8260470091063002E-2</v>
      </c>
      <c r="S26" s="19">
        <v>0.13176203680734799</v>
      </c>
      <c r="T26" s="19">
        <v>3.63032090496066E-2</v>
      </c>
      <c r="U26" s="19">
        <v>7.3349625928874701E-2</v>
      </c>
      <c r="V26" s="19">
        <v>3.7200155859174203E-2</v>
      </c>
      <c r="W26" s="19">
        <v>7.6006106323100397E-2</v>
      </c>
      <c r="X26" s="19">
        <v>0.118586604446193</v>
      </c>
      <c r="Y26" s="19">
        <v>3.20401404340422E-2</v>
      </c>
      <c r="Z26" s="19">
        <v>4.1479793438997797E-2</v>
      </c>
      <c r="AA26" s="19">
        <v>6.3736830304623696E-2</v>
      </c>
      <c r="AB26" s="19">
        <v>3.89916387267632E-2</v>
      </c>
      <c r="AC26" s="19">
        <v>2.4623751351975001E-2</v>
      </c>
      <c r="AD26" s="19">
        <v>2.81916753750075E-2</v>
      </c>
      <c r="AE26" s="19">
        <v>5.38522142335277E-2</v>
      </c>
    </row>
    <row r="27" spans="1:31" x14ac:dyDescent="0.2">
      <c r="A27" s="13">
        <v>27</v>
      </c>
      <c r="B27" s="14" t="s">
        <v>75</v>
      </c>
      <c r="C27" s="15" t="s">
        <v>125</v>
      </c>
      <c r="D27" s="14" t="s">
        <v>70</v>
      </c>
      <c r="E27" s="14" t="s">
        <v>125</v>
      </c>
      <c r="F27" s="14" t="s">
        <v>7</v>
      </c>
      <c r="G27" s="14" t="s">
        <v>109</v>
      </c>
      <c r="H27" s="16">
        <v>0.32054032303557201</v>
      </c>
      <c r="I27" s="16">
        <v>0.145199203783488</v>
      </c>
      <c r="J27" s="16">
        <v>6.6155658324991207E-2</v>
      </c>
      <c r="K27" s="16">
        <v>0.47792858350513401</v>
      </c>
      <c r="L27" s="16">
        <v>0.31850871807338799</v>
      </c>
      <c r="M27" s="16">
        <v>0.26195981931957701</v>
      </c>
      <c r="N27" s="16">
        <v>0.34105690428412999</v>
      </c>
      <c r="O27" s="16">
        <v>0.34066139804290002</v>
      </c>
      <c r="P27" s="16">
        <v>0.23310525841943799</v>
      </c>
      <c r="Q27" s="16">
        <v>0.38953617183404898</v>
      </c>
      <c r="R27" s="16">
        <v>7.9284936626546301E-2</v>
      </c>
      <c r="S27" s="16">
        <v>1.25640954645171</v>
      </c>
      <c r="T27" s="16">
        <v>0.11630932014199299</v>
      </c>
      <c r="U27" s="16">
        <v>0.89805640073483095</v>
      </c>
      <c r="V27" s="16">
        <v>0.150920338061205</v>
      </c>
      <c r="W27" s="16">
        <v>5.1333799178579699E-2</v>
      </c>
      <c r="X27" s="16">
        <v>0.577807024483462</v>
      </c>
      <c r="Y27" s="16">
        <v>0.240097622733703</v>
      </c>
      <c r="Z27" s="16">
        <v>0.118428018421809</v>
      </c>
      <c r="AA27" s="16">
        <v>1.8831445981113099E-2</v>
      </c>
      <c r="AB27" s="16">
        <v>0.129078796216192</v>
      </c>
      <c r="AC27" s="16">
        <v>0.15177313484756799</v>
      </c>
      <c r="AD27" s="16">
        <v>8.9029353834141498E-2</v>
      </c>
      <c r="AE27" s="16">
        <v>0.106467530850494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E28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67</v>
      </c>
      <c r="B1" s="1" t="s">
        <v>131</v>
      </c>
      <c r="C1" s="1" t="s">
        <v>99</v>
      </c>
      <c r="D1" s="1" t="s">
        <v>42</v>
      </c>
      <c r="E1" s="1" t="s">
        <v>55</v>
      </c>
      <c r="F1" s="1" t="s">
        <v>77</v>
      </c>
      <c r="G1" s="1" t="s">
        <v>127</v>
      </c>
      <c r="H1" s="1" t="s">
        <v>40</v>
      </c>
      <c r="I1" s="1" t="s">
        <v>141</v>
      </c>
      <c r="J1" s="1" t="s">
        <v>2</v>
      </c>
      <c r="K1" s="1" t="s">
        <v>36</v>
      </c>
      <c r="L1" s="1" t="s">
        <v>9</v>
      </c>
      <c r="M1" s="1" t="s">
        <v>47</v>
      </c>
      <c r="N1" s="2" t="s">
        <v>118</v>
      </c>
      <c r="O1" s="1" t="s">
        <v>79</v>
      </c>
      <c r="P1" s="2" t="s">
        <v>18</v>
      </c>
      <c r="Q1" s="1" t="s">
        <v>80</v>
      </c>
      <c r="R1" s="1" t="s">
        <v>144</v>
      </c>
      <c r="S1" s="1" t="s">
        <v>134</v>
      </c>
      <c r="T1" s="1" t="s">
        <v>69</v>
      </c>
      <c r="U1" s="1" t="s">
        <v>12</v>
      </c>
      <c r="V1" s="1" t="s">
        <v>87</v>
      </c>
      <c r="W1" s="1" t="s">
        <v>156</v>
      </c>
      <c r="X1" s="1" t="s">
        <v>19</v>
      </c>
      <c r="Y1" s="1" t="s">
        <v>13</v>
      </c>
      <c r="Z1" s="1" t="s">
        <v>82</v>
      </c>
      <c r="AA1" s="1" t="s">
        <v>39</v>
      </c>
      <c r="AB1" s="1" t="s">
        <v>58</v>
      </c>
      <c r="AC1" s="1" t="s">
        <v>81</v>
      </c>
      <c r="AD1" s="1" t="s">
        <v>28</v>
      </c>
      <c r="AE1" s="1" t="s">
        <v>139</v>
      </c>
    </row>
    <row r="2" spans="1:31" x14ac:dyDescent="0.2">
      <c r="A2" s="3">
        <v>1</v>
      </c>
      <c r="B2" s="4" t="s">
        <v>14</v>
      </c>
      <c r="C2" s="5" t="s">
        <v>125</v>
      </c>
      <c r="D2" s="4" t="s">
        <v>100</v>
      </c>
      <c r="E2" s="4" t="s">
        <v>125</v>
      </c>
      <c r="F2" s="4" t="s">
        <v>110</v>
      </c>
      <c r="G2" s="4" t="s">
        <v>109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x14ac:dyDescent="0.2">
      <c r="A3" s="3">
        <v>2</v>
      </c>
      <c r="B3" s="7" t="s">
        <v>14</v>
      </c>
      <c r="C3" s="8" t="s">
        <v>125</v>
      </c>
      <c r="D3" s="7" t="s">
        <v>96</v>
      </c>
      <c r="E3" s="7" t="s">
        <v>125</v>
      </c>
      <c r="F3" s="7" t="s">
        <v>27</v>
      </c>
      <c r="G3" s="7" t="s">
        <v>109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">
      <c r="A4" s="3">
        <v>3</v>
      </c>
      <c r="B4" s="4" t="s">
        <v>14</v>
      </c>
      <c r="C4" s="5" t="s">
        <v>125</v>
      </c>
      <c r="D4" s="4" t="s">
        <v>103</v>
      </c>
      <c r="E4" s="4" t="s">
        <v>125</v>
      </c>
      <c r="F4" s="4" t="s">
        <v>120</v>
      </c>
      <c r="G4" s="4" t="s">
        <v>109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">
      <c r="A5" s="3">
        <v>4</v>
      </c>
      <c r="B5" s="7" t="s">
        <v>14</v>
      </c>
      <c r="C5" s="8" t="s">
        <v>125</v>
      </c>
      <c r="D5" s="7" t="s">
        <v>151</v>
      </c>
      <c r="E5" s="7" t="s">
        <v>125</v>
      </c>
      <c r="F5" s="7" t="s">
        <v>76</v>
      </c>
      <c r="G5" s="7" t="s">
        <v>109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">
      <c r="A6" s="3">
        <v>5</v>
      </c>
      <c r="B6" s="4" t="s">
        <v>37</v>
      </c>
      <c r="C6" s="5" t="s">
        <v>125</v>
      </c>
      <c r="D6" s="4" t="s">
        <v>5</v>
      </c>
      <c r="E6" s="4" t="s">
        <v>125</v>
      </c>
      <c r="F6" s="4" t="s">
        <v>16</v>
      </c>
      <c r="G6" s="4" t="s">
        <v>109</v>
      </c>
      <c r="H6" s="21">
        <v>5</v>
      </c>
      <c r="I6" s="21">
        <v>5</v>
      </c>
      <c r="J6" s="21">
        <v>5</v>
      </c>
      <c r="K6" s="21">
        <v>25</v>
      </c>
      <c r="L6" s="21">
        <v>25</v>
      </c>
      <c r="M6" s="21">
        <v>25</v>
      </c>
      <c r="N6" s="21">
        <v>5</v>
      </c>
      <c r="O6" s="21">
        <v>5</v>
      </c>
      <c r="P6" s="21">
        <v>5</v>
      </c>
      <c r="Q6" s="21">
        <v>5</v>
      </c>
      <c r="R6" s="21">
        <v>5</v>
      </c>
      <c r="S6" s="21">
        <v>5</v>
      </c>
      <c r="T6" s="21">
        <v>5</v>
      </c>
      <c r="U6" s="21">
        <v>5</v>
      </c>
      <c r="V6" s="21">
        <v>5</v>
      </c>
      <c r="W6" s="21">
        <v>5</v>
      </c>
      <c r="X6" s="21">
        <v>5</v>
      </c>
      <c r="Y6" s="21">
        <v>5</v>
      </c>
      <c r="Z6" s="21">
        <v>5</v>
      </c>
      <c r="AA6" s="21">
        <v>5</v>
      </c>
      <c r="AB6" s="21">
        <v>5</v>
      </c>
      <c r="AC6" s="21">
        <v>5</v>
      </c>
      <c r="AD6" s="21">
        <v>5</v>
      </c>
      <c r="AE6" s="21">
        <v>5</v>
      </c>
    </row>
    <row r="7" spans="1:31" x14ac:dyDescent="0.2">
      <c r="A7" s="3">
        <v>6</v>
      </c>
      <c r="B7" s="7" t="s">
        <v>50</v>
      </c>
      <c r="C7" s="8" t="s">
        <v>125</v>
      </c>
      <c r="D7" s="7" t="s">
        <v>34</v>
      </c>
      <c r="E7" s="7" t="s">
        <v>125</v>
      </c>
      <c r="F7" s="7" t="s">
        <v>142</v>
      </c>
      <c r="G7" s="7" t="s">
        <v>109</v>
      </c>
      <c r="H7" s="22">
        <v>19.634917246413</v>
      </c>
      <c r="I7" s="22">
        <v>19.984276744212998</v>
      </c>
      <c r="J7" s="22">
        <v>19.809755298991401</v>
      </c>
      <c r="K7" s="22">
        <v>102.882150885055</v>
      </c>
      <c r="L7" s="22">
        <v>99.982652213641302</v>
      </c>
      <c r="M7" s="22">
        <v>99.771730222324607</v>
      </c>
      <c r="N7" s="22">
        <v>20.1454120997664</v>
      </c>
      <c r="O7" s="22">
        <v>20.0577225541535</v>
      </c>
      <c r="P7" s="22">
        <v>19.943851595267901</v>
      </c>
      <c r="Q7" s="22">
        <v>19.9641529759432</v>
      </c>
      <c r="R7" s="22">
        <v>19.9938499285422</v>
      </c>
      <c r="S7" s="22">
        <v>19.1532067501794</v>
      </c>
      <c r="T7" s="22">
        <v>19.9874247921679</v>
      </c>
      <c r="U7" s="22">
        <v>20.064784572419001</v>
      </c>
      <c r="V7" s="22">
        <v>19.9895552869041</v>
      </c>
      <c r="W7" s="22">
        <v>19.9115349064576</v>
      </c>
      <c r="X7" s="22">
        <v>19.688810743022099</v>
      </c>
      <c r="Y7" s="22">
        <v>20.017811153003102</v>
      </c>
      <c r="Z7" s="22">
        <v>19.978145238500499</v>
      </c>
      <c r="AA7" s="22">
        <v>20.0350862458424</v>
      </c>
      <c r="AB7" s="22">
        <v>19.983937446040201</v>
      </c>
      <c r="AC7" s="22">
        <v>19.990895609296601</v>
      </c>
      <c r="AD7" s="22">
        <v>19.997836956487699</v>
      </c>
      <c r="AE7" s="22">
        <v>20.015597237481298</v>
      </c>
    </row>
    <row r="8" spans="1:31" x14ac:dyDescent="0.2">
      <c r="A8" s="3">
        <v>7</v>
      </c>
      <c r="B8" s="4" t="s">
        <v>41</v>
      </c>
      <c r="C8" s="5" t="s">
        <v>125</v>
      </c>
      <c r="D8" s="4" t="s">
        <v>60</v>
      </c>
      <c r="E8" s="4" t="s">
        <v>125</v>
      </c>
      <c r="F8" s="4" t="s">
        <v>126</v>
      </c>
      <c r="G8" s="4" t="s">
        <v>109</v>
      </c>
      <c r="H8" s="21">
        <v>50.448110241883199</v>
      </c>
      <c r="I8" s="21">
        <v>49.943348465740002</v>
      </c>
      <c r="J8" s="21">
        <v>49.9139731277089</v>
      </c>
      <c r="K8" s="21">
        <v>255.85936436694001</v>
      </c>
      <c r="L8" s="21">
        <v>249.47320555002401</v>
      </c>
      <c r="M8" s="21">
        <v>249.65437976614601</v>
      </c>
      <c r="N8" s="21">
        <v>49.949505847602602</v>
      </c>
      <c r="O8" s="21">
        <v>49.884276757279999</v>
      </c>
      <c r="P8" s="21">
        <v>49.749060118529002</v>
      </c>
      <c r="Q8" s="21">
        <v>49.704067332344202</v>
      </c>
      <c r="R8" s="21">
        <v>50.3785949121798</v>
      </c>
      <c r="S8" s="21">
        <v>48.640598074491599</v>
      </c>
      <c r="T8" s="21">
        <v>49.997619565507001</v>
      </c>
      <c r="U8" s="21">
        <v>49.978710834538099</v>
      </c>
      <c r="V8" s="21">
        <v>49.855333242957101</v>
      </c>
      <c r="W8" s="21">
        <v>48.622429116635502</v>
      </c>
      <c r="X8" s="21">
        <v>49.094749487497701</v>
      </c>
      <c r="Y8" s="21">
        <v>49.936119826530501</v>
      </c>
      <c r="Z8" s="21">
        <v>50.5887052406962</v>
      </c>
      <c r="AA8" s="21">
        <v>50.073371426541101</v>
      </c>
      <c r="AB8" s="21">
        <v>49.996808666570097</v>
      </c>
      <c r="AC8" s="21">
        <v>50.008394223034401</v>
      </c>
      <c r="AD8" s="21">
        <v>49.983349863874601</v>
      </c>
      <c r="AE8" s="21">
        <v>50.146385425436101</v>
      </c>
    </row>
    <row r="9" spans="1:31" x14ac:dyDescent="0.2">
      <c r="A9" s="3">
        <v>8</v>
      </c>
      <c r="B9" s="7" t="s">
        <v>98</v>
      </c>
      <c r="C9" s="8" t="s">
        <v>125</v>
      </c>
      <c r="D9" s="7" t="s">
        <v>86</v>
      </c>
      <c r="E9" s="7" t="s">
        <v>125</v>
      </c>
      <c r="F9" s="7" t="s">
        <v>94</v>
      </c>
      <c r="G9" s="7" t="s">
        <v>109</v>
      </c>
      <c r="H9" s="22">
        <v>199.82397797878099</v>
      </c>
      <c r="I9" s="22">
        <v>200.45777478476001</v>
      </c>
      <c r="J9" s="22">
        <v>199.107912706066</v>
      </c>
      <c r="K9" s="22">
        <v>1004.18520705893</v>
      </c>
      <c r="L9" s="22">
        <v>1006.65762347945</v>
      </c>
      <c r="M9" s="22">
        <v>1000.5031297146</v>
      </c>
      <c r="N9" s="22">
        <v>199.63534159909801</v>
      </c>
      <c r="O9" s="22">
        <v>199.901525830682</v>
      </c>
      <c r="P9" s="22">
        <v>199.84756486744399</v>
      </c>
      <c r="Q9" s="22">
        <v>200.31456202702901</v>
      </c>
      <c r="R9" s="22">
        <v>198.95922926784499</v>
      </c>
      <c r="S9" s="22">
        <v>199.199269454508</v>
      </c>
      <c r="T9" s="22">
        <v>201.12695718044901</v>
      </c>
      <c r="U9" s="22">
        <v>200.93797124691</v>
      </c>
      <c r="V9" s="22">
        <v>201.26035512539599</v>
      </c>
      <c r="W9" s="22">
        <v>199.17345458032901</v>
      </c>
      <c r="X9" s="22">
        <v>198.80984243852399</v>
      </c>
      <c r="Y9" s="22">
        <v>200.488432147867</v>
      </c>
      <c r="Z9" s="22">
        <v>200.54878369527299</v>
      </c>
      <c r="AA9" s="22">
        <v>199.515636039783</v>
      </c>
      <c r="AB9" s="22">
        <v>200.36055506032099</v>
      </c>
      <c r="AC9" s="22">
        <v>200.237307785979</v>
      </c>
      <c r="AD9" s="22">
        <v>199.66899544334601</v>
      </c>
      <c r="AE9" s="22">
        <v>199.433664514962</v>
      </c>
    </row>
    <row r="10" spans="1:31" x14ac:dyDescent="0.2">
      <c r="A10" s="3">
        <v>9</v>
      </c>
      <c r="B10" s="4" t="s">
        <v>3</v>
      </c>
      <c r="C10" s="5" t="s">
        <v>125</v>
      </c>
      <c r="D10" s="4" t="s">
        <v>35</v>
      </c>
      <c r="E10" s="4" t="s">
        <v>125</v>
      </c>
      <c r="F10" s="4" t="s">
        <v>71</v>
      </c>
      <c r="G10" s="4" t="s">
        <v>109</v>
      </c>
      <c r="H10" s="21">
        <v>497.61187587292801</v>
      </c>
      <c r="I10" s="21">
        <v>502.10598167656201</v>
      </c>
      <c r="J10" s="21">
        <v>501.62199864170299</v>
      </c>
      <c r="K10" s="21">
        <v>2508.8908749993002</v>
      </c>
      <c r="L10" s="21">
        <v>2491.3999074830099</v>
      </c>
      <c r="M10" s="21">
        <v>2498.3860854163299</v>
      </c>
      <c r="N10" s="21">
        <v>499.22937831531698</v>
      </c>
      <c r="O10" s="21">
        <v>497.99989973899898</v>
      </c>
      <c r="P10" s="21">
        <v>498.01578947340499</v>
      </c>
      <c r="Q10" s="21">
        <v>496.26099830742203</v>
      </c>
      <c r="R10" s="21">
        <v>505.17229017659901</v>
      </c>
      <c r="S10" s="21">
        <v>504.71108969636498</v>
      </c>
      <c r="T10" s="21">
        <v>500.69126471965501</v>
      </c>
      <c r="U10" s="21">
        <v>500.64246605299797</v>
      </c>
      <c r="V10" s="21">
        <v>501.00033611451198</v>
      </c>
      <c r="W10" s="21">
        <v>500.48945073384402</v>
      </c>
      <c r="X10" s="21">
        <v>504.76160764363499</v>
      </c>
      <c r="Y10" s="21">
        <v>498.90581533685503</v>
      </c>
      <c r="Z10" s="21">
        <v>501.19550558908003</v>
      </c>
      <c r="AA10" s="21">
        <v>516.191854224439</v>
      </c>
      <c r="AB10" s="21">
        <v>503.08668958458901</v>
      </c>
      <c r="AC10" s="21">
        <v>498.975336472609</v>
      </c>
      <c r="AD10" s="21">
        <v>501.59351058860398</v>
      </c>
      <c r="AE10" s="21">
        <v>501.33953134639199</v>
      </c>
    </row>
    <row r="11" spans="1:31" x14ac:dyDescent="0.2">
      <c r="A11" s="3">
        <v>10</v>
      </c>
      <c r="B11" s="7" t="s">
        <v>84</v>
      </c>
      <c r="C11" s="8" t="s">
        <v>125</v>
      </c>
      <c r="D11" s="7" t="s">
        <v>155</v>
      </c>
      <c r="E11" s="7" t="s">
        <v>125</v>
      </c>
      <c r="F11" s="7" t="s">
        <v>145</v>
      </c>
      <c r="G11" s="7" t="s">
        <v>109</v>
      </c>
      <c r="H11" s="22">
        <v>1995.81061516507</v>
      </c>
      <c r="I11" s="22">
        <v>1998.2615789926799</v>
      </c>
      <c r="J11" s="22">
        <v>1997.72117773215</v>
      </c>
      <c r="K11" s="22">
        <v>9939.0791067089904</v>
      </c>
      <c r="L11" s="22">
        <v>9964.7495651508107</v>
      </c>
      <c r="M11" s="22">
        <v>9982.7670254297209</v>
      </c>
      <c r="N11" s="22">
        <v>1998.1816504363901</v>
      </c>
      <c r="O11" s="22">
        <v>1996.5407046248299</v>
      </c>
      <c r="P11" s="22">
        <v>1998.79057754212</v>
      </c>
      <c r="Q11" s="22">
        <v>2015.9492306086299</v>
      </c>
      <c r="R11" s="22">
        <v>2000.0068014158501</v>
      </c>
      <c r="S11" s="22">
        <v>2001.6278151234201</v>
      </c>
      <c r="T11" s="22">
        <v>1996.1824635978801</v>
      </c>
      <c r="U11" s="22">
        <v>1998.9655903477301</v>
      </c>
      <c r="V11" s="22">
        <v>1994.9266378239399</v>
      </c>
      <c r="W11" s="22">
        <v>1999.1409524067601</v>
      </c>
      <c r="X11" s="22">
        <v>2009.14716641524</v>
      </c>
      <c r="Y11" s="22">
        <v>1992.1655006511701</v>
      </c>
      <c r="Z11" s="22">
        <v>1994.91855071534</v>
      </c>
      <c r="AA11" s="22">
        <v>2000.65278781806</v>
      </c>
      <c r="AB11" s="22">
        <v>1994.5937518324699</v>
      </c>
      <c r="AC11" s="22">
        <v>1991.1060536751199</v>
      </c>
      <c r="AD11" s="22">
        <v>1990.3680697086299</v>
      </c>
      <c r="AE11" s="22">
        <v>1990.56257991349</v>
      </c>
    </row>
    <row r="12" spans="1:31" x14ac:dyDescent="0.2">
      <c r="A12" s="3">
        <v>11</v>
      </c>
      <c r="B12" s="10" t="s">
        <v>83</v>
      </c>
      <c r="C12" s="3" t="s">
        <v>125</v>
      </c>
      <c r="D12" s="10" t="s">
        <v>155</v>
      </c>
      <c r="E12" s="10" t="s">
        <v>125</v>
      </c>
      <c r="F12" s="10" t="s">
        <v>125</v>
      </c>
      <c r="G12" s="10" t="s">
        <v>125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52</v>
      </c>
      <c r="C13" s="8" t="s">
        <v>125</v>
      </c>
      <c r="D13" s="7" t="s">
        <v>53</v>
      </c>
      <c r="E13" s="7" t="s">
        <v>125</v>
      </c>
      <c r="F13" s="7" t="s">
        <v>129</v>
      </c>
      <c r="G13" s="7" t="s">
        <v>109</v>
      </c>
      <c r="H13" s="22">
        <v>7.3397254364466598</v>
      </c>
      <c r="I13" s="22">
        <v>7.2182118848617698</v>
      </c>
      <c r="J13" s="22">
        <v>6.8385530864245299</v>
      </c>
      <c r="K13" s="22">
        <v>32.664034760177103</v>
      </c>
      <c r="L13" s="22">
        <v>41.571812107330203</v>
      </c>
      <c r="M13" s="22">
        <v>39.418125432722</v>
      </c>
      <c r="N13" s="22">
        <v>13.9781281814161</v>
      </c>
      <c r="O13" s="22">
        <v>8.2121781983502196</v>
      </c>
      <c r="P13" s="22">
        <v>14.146412465203699</v>
      </c>
      <c r="Q13" s="22">
        <v>6.3676875291774504</v>
      </c>
      <c r="R13" s="22">
        <v>7.9663456564913702</v>
      </c>
      <c r="S13" s="22">
        <v>-1.5477567902718401</v>
      </c>
      <c r="T13" s="22">
        <v>7.2559736828060499</v>
      </c>
      <c r="U13" s="22">
        <v>8.6610867019928008</v>
      </c>
      <c r="V13" s="22">
        <v>8.9506065653140006</v>
      </c>
      <c r="W13" s="22">
        <v>8.5592804238683904</v>
      </c>
      <c r="X13" s="22">
        <v>8.7239932786735004</v>
      </c>
      <c r="Y13" s="22">
        <v>8.1569150659663698</v>
      </c>
      <c r="Z13" s="22">
        <v>7.82598826186792</v>
      </c>
      <c r="AA13" s="22">
        <v>10.984669313100801</v>
      </c>
      <c r="AB13" s="22">
        <v>7.6088729013180698</v>
      </c>
      <c r="AC13" s="22">
        <v>8.6008269547788103</v>
      </c>
      <c r="AD13" s="22">
        <v>8.1747196613750592</v>
      </c>
      <c r="AE13" s="22">
        <v>7.6212732876578997</v>
      </c>
    </row>
    <row r="14" spans="1:31" x14ac:dyDescent="0.2">
      <c r="A14" s="3">
        <v>13</v>
      </c>
      <c r="B14" s="4" t="s">
        <v>78</v>
      </c>
      <c r="C14" s="5" t="s">
        <v>125</v>
      </c>
      <c r="D14" s="4" t="s">
        <v>6</v>
      </c>
      <c r="E14" s="4" t="s">
        <v>125</v>
      </c>
      <c r="F14" s="4" t="s">
        <v>4</v>
      </c>
      <c r="G14" s="4" t="s">
        <v>109</v>
      </c>
      <c r="H14" s="21">
        <v>-2.2718530547763698</v>
      </c>
      <c r="I14" s="21">
        <v>7.0783981192353698E-2</v>
      </c>
      <c r="J14" s="21">
        <v>-0.48794538473027599</v>
      </c>
      <c r="K14" s="21">
        <v>8.2678227370109294</v>
      </c>
      <c r="L14" s="21">
        <v>6.0263335281600003</v>
      </c>
      <c r="M14" s="21">
        <v>2.9699009704424402</v>
      </c>
      <c r="N14" s="21">
        <v>-1.24802214484081</v>
      </c>
      <c r="O14" s="21">
        <v>-2.67956333159924</v>
      </c>
      <c r="P14" s="21">
        <v>-2.1232956020048301</v>
      </c>
      <c r="Q14" s="21">
        <v>-3.45600980721734</v>
      </c>
      <c r="R14" s="21">
        <v>0.33299015983166602</v>
      </c>
      <c r="S14" s="21">
        <v>-12.271277734722</v>
      </c>
      <c r="T14" s="21">
        <v>0.32011406430928302</v>
      </c>
      <c r="U14" s="21">
        <v>-6.3279965626761596</v>
      </c>
      <c r="V14" s="21">
        <v>0.42045964962231303</v>
      </c>
      <c r="W14" s="21">
        <v>-0.45203627811437802</v>
      </c>
      <c r="X14" s="21">
        <v>2.0405279197979498</v>
      </c>
      <c r="Y14" s="21">
        <v>0.42326554968025798</v>
      </c>
      <c r="Z14" s="21">
        <v>0.38875368819245698</v>
      </c>
      <c r="AA14" s="21">
        <v>2.1232976786886701</v>
      </c>
      <c r="AB14" s="21">
        <v>0.36658894088266097</v>
      </c>
      <c r="AC14" s="21">
        <v>0.44185043049558498</v>
      </c>
      <c r="AD14" s="21">
        <v>0.42156003912669199</v>
      </c>
      <c r="AE14" s="21">
        <v>0.400180616301196</v>
      </c>
    </row>
    <row r="15" spans="1:31" x14ac:dyDescent="0.2">
      <c r="A15" s="3">
        <v>14</v>
      </c>
      <c r="B15" s="7" t="s">
        <v>72</v>
      </c>
      <c r="C15" s="8" t="s">
        <v>125</v>
      </c>
      <c r="D15" s="7" t="s">
        <v>107</v>
      </c>
      <c r="E15" s="7" t="s">
        <v>125</v>
      </c>
      <c r="F15" s="7" t="s">
        <v>31</v>
      </c>
      <c r="G15" s="7" t="s">
        <v>109</v>
      </c>
      <c r="H15" s="22">
        <v>231.29872715762701</v>
      </c>
      <c r="I15" s="22">
        <v>217.03422267581999</v>
      </c>
      <c r="J15" s="22">
        <v>199.02596594347</v>
      </c>
      <c r="K15" s="22">
        <v>488.83501932577298</v>
      </c>
      <c r="L15" s="22">
        <v>1146.2134953209099</v>
      </c>
      <c r="M15" s="22">
        <v>1163.1890109328699</v>
      </c>
      <c r="N15" s="22">
        <v>211.09917401061401</v>
      </c>
      <c r="O15" s="22">
        <v>200.73842702730701</v>
      </c>
      <c r="P15" s="22">
        <v>207.251209105529</v>
      </c>
      <c r="Q15" s="22">
        <v>188.29526730257899</v>
      </c>
      <c r="R15" s="22">
        <v>215.34519784154401</v>
      </c>
      <c r="S15" s="22">
        <v>179.68303622168801</v>
      </c>
      <c r="T15" s="22">
        <v>198.69338827919699</v>
      </c>
      <c r="U15" s="22">
        <v>221.63187459801</v>
      </c>
      <c r="V15" s="22">
        <v>249.075815164136</v>
      </c>
      <c r="W15" s="22">
        <v>214.137829278732</v>
      </c>
      <c r="X15" s="22">
        <v>173.39089111925401</v>
      </c>
      <c r="Y15" s="22">
        <v>204.347511233571</v>
      </c>
      <c r="Z15" s="22">
        <v>237.334113127611</v>
      </c>
      <c r="AA15" s="22">
        <v>158.2797343448</v>
      </c>
      <c r="AB15" s="22">
        <v>210.41817996114901</v>
      </c>
      <c r="AC15" s="22">
        <v>242.238510273739</v>
      </c>
      <c r="AD15" s="22">
        <v>224.54080383210001</v>
      </c>
      <c r="AE15" s="22">
        <v>206.45636511677799</v>
      </c>
    </row>
    <row r="16" spans="1:31" x14ac:dyDescent="0.2">
      <c r="A16" s="3">
        <v>15</v>
      </c>
      <c r="B16" s="4" t="s">
        <v>11</v>
      </c>
      <c r="C16" s="5" t="s">
        <v>125</v>
      </c>
      <c r="D16" s="4" t="s">
        <v>59</v>
      </c>
      <c r="E16" s="4" t="s">
        <v>125</v>
      </c>
      <c r="F16" s="4" t="s">
        <v>104</v>
      </c>
      <c r="G16" s="4" t="s">
        <v>109</v>
      </c>
      <c r="H16" s="21">
        <v>0.88126634096904699</v>
      </c>
      <c r="I16" s="21">
        <v>0.68357708749301804</v>
      </c>
      <c r="J16" s="21">
        <v>0.779051480070307</v>
      </c>
      <c r="K16" s="21">
        <v>-36.013455843721502</v>
      </c>
      <c r="L16" s="21">
        <v>3.4318938479682202</v>
      </c>
      <c r="M16" s="21">
        <v>-5.9711984141190597E-2</v>
      </c>
      <c r="N16" s="21">
        <v>1.03407842722926</v>
      </c>
      <c r="O16" s="21">
        <v>1.3575560796078701</v>
      </c>
      <c r="P16" s="21">
        <v>1.06316116088387</v>
      </c>
      <c r="Q16" s="21">
        <v>0.31771378465196998</v>
      </c>
      <c r="R16" s="21">
        <v>0.69772747172738903</v>
      </c>
      <c r="S16" s="21">
        <v>1.13700172595374E-2</v>
      </c>
      <c r="T16" s="21">
        <v>0.69407914767257395</v>
      </c>
      <c r="U16" s="21">
        <v>0.795701126658377</v>
      </c>
      <c r="V16" s="21">
        <v>0.69061543943192805</v>
      </c>
      <c r="W16" s="21">
        <v>0.66295234514536205</v>
      </c>
      <c r="X16" s="21">
        <v>4.4516894420243398</v>
      </c>
      <c r="Y16" s="21">
        <v>0.88920054546566496</v>
      </c>
      <c r="Z16" s="21">
        <v>0.637502450103551</v>
      </c>
      <c r="AA16" s="21">
        <v>2.20666898775929</v>
      </c>
      <c r="AB16" s="21">
        <v>0.70304052283000196</v>
      </c>
      <c r="AC16" s="21">
        <v>0.81140111738050402</v>
      </c>
      <c r="AD16" s="21">
        <v>0.80278729676502103</v>
      </c>
      <c r="AE16" s="21">
        <v>0.79254422435744298</v>
      </c>
    </row>
    <row r="17" spans="1:31" x14ac:dyDescent="0.2">
      <c r="A17" s="3">
        <v>16</v>
      </c>
      <c r="B17" s="7" t="s">
        <v>49</v>
      </c>
      <c r="C17" s="8" t="s">
        <v>125</v>
      </c>
      <c r="D17" s="7" t="s">
        <v>143</v>
      </c>
      <c r="E17" s="7" t="s">
        <v>125</v>
      </c>
      <c r="F17" s="7" t="s">
        <v>48</v>
      </c>
      <c r="G17" s="7" t="s">
        <v>109</v>
      </c>
      <c r="H17" s="22">
        <v>2.2727362815782</v>
      </c>
      <c r="I17" s="22">
        <v>0.165631633996974</v>
      </c>
      <c r="J17" s="22">
        <v>1.78829496413294</v>
      </c>
      <c r="K17" s="22">
        <v>-41.464423281321501</v>
      </c>
      <c r="L17" s="22">
        <v>0.83258739803640003</v>
      </c>
      <c r="M17" s="22">
        <v>-1.92105336694034</v>
      </c>
      <c r="N17" s="22">
        <v>194.75919905816099</v>
      </c>
      <c r="O17" s="22">
        <v>354.47444708595998</v>
      </c>
      <c r="P17" s="22">
        <v>275.83574668655001</v>
      </c>
      <c r="Q17" s="22">
        <v>393.006211215203</v>
      </c>
      <c r="R17" s="22">
        <v>1.7139168503451398E-2</v>
      </c>
      <c r="S17" s="22">
        <v>-4.85998767333035</v>
      </c>
      <c r="T17" s="22">
        <v>3.5170792646128698E-2</v>
      </c>
      <c r="U17" s="22">
        <v>0.64418881829434005</v>
      </c>
      <c r="V17" s="22">
        <v>3.2339883448422702E-2</v>
      </c>
      <c r="W17" s="22">
        <v>2.71137841926179</v>
      </c>
      <c r="X17" s="22">
        <v>1.6619646171689499</v>
      </c>
      <c r="Y17" s="22">
        <v>0.13420551122975399</v>
      </c>
      <c r="Z17" s="22">
        <v>3.35562521490642E-2</v>
      </c>
      <c r="AA17" s="22">
        <v>0.49587072228212797</v>
      </c>
      <c r="AB17" s="22">
        <v>3.2150989349442903E-2</v>
      </c>
      <c r="AC17" s="22">
        <v>4.2981887540974602E-2</v>
      </c>
      <c r="AD17" s="22">
        <v>3.7059804461886697E-2</v>
      </c>
      <c r="AE17" s="22">
        <v>3.8045275432207801E-2</v>
      </c>
    </row>
    <row r="18" spans="1:31" x14ac:dyDescent="0.2">
      <c r="A18" s="3">
        <v>17</v>
      </c>
      <c r="B18" s="4" t="s">
        <v>78</v>
      </c>
      <c r="C18" s="5" t="s">
        <v>125</v>
      </c>
      <c r="D18" s="4" t="s">
        <v>23</v>
      </c>
      <c r="E18" s="4" t="s">
        <v>125</v>
      </c>
      <c r="F18" s="4" t="s">
        <v>29</v>
      </c>
      <c r="G18" s="4" t="s">
        <v>109</v>
      </c>
      <c r="H18" s="21">
        <v>0.29336890271654598</v>
      </c>
      <c r="I18" s="21">
        <v>-2.1285621926958498E-3</v>
      </c>
      <c r="J18" s="21">
        <v>9.7207430128911795E-2</v>
      </c>
      <c r="K18" s="21">
        <v>-17.297945517977499</v>
      </c>
      <c r="L18" s="21">
        <v>-0.56824656636372495</v>
      </c>
      <c r="M18" s="21">
        <v>-1.7612834634274199</v>
      </c>
      <c r="N18" s="21">
        <v>0.89144697579963605</v>
      </c>
      <c r="O18" s="21">
        <v>1.27769914561613</v>
      </c>
      <c r="P18" s="21">
        <v>1.40151291132606</v>
      </c>
      <c r="Q18" s="21">
        <v>1.0024234691032099</v>
      </c>
      <c r="R18" s="21">
        <v>1.0448779491570601E-3</v>
      </c>
      <c r="S18" s="21">
        <v>4.5063455442387097</v>
      </c>
      <c r="T18" s="21">
        <v>8.5004583182286195E-3</v>
      </c>
      <c r="U18" s="21">
        <v>-0.33585784783234901</v>
      </c>
      <c r="V18" s="21">
        <v>5.5972277005714201E-3</v>
      </c>
      <c r="W18" s="21">
        <v>-4.7510523672236703E-2</v>
      </c>
      <c r="X18" s="21">
        <v>2.8475213012282601</v>
      </c>
      <c r="Y18" s="21">
        <v>7.1842616440121604E-2</v>
      </c>
      <c r="Z18" s="21">
        <v>3.6126591128138202E-3</v>
      </c>
      <c r="AA18" s="21">
        <v>0.437334148815195</v>
      </c>
      <c r="AB18" s="21">
        <v>5.7684719642891596E-3</v>
      </c>
      <c r="AC18" s="21">
        <v>1.2316728302820301E-2</v>
      </c>
      <c r="AD18" s="21">
        <v>1.4962045523452599E-2</v>
      </c>
      <c r="AE18" s="21">
        <v>1.39998672546105E-2</v>
      </c>
    </row>
    <row r="19" spans="1:31" x14ac:dyDescent="0.2">
      <c r="A19" s="3">
        <v>18</v>
      </c>
      <c r="B19" s="7" t="s">
        <v>22</v>
      </c>
      <c r="C19" s="8" t="s">
        <v>125</v>
      </c>
      <c r="D19" s="7" t="s">
        <v>66</v>
      </c>
      <c r="E19" s="7" t="s">
        <v>125</v>
      </c>
      <c r="F19" s="7" t="s">
        <v>68</v>
      </c>
      <c r="G19" s="7" t="s">
        <v>109</v>
      </c>
      <c r="H19" s="22">
        <v>4.2425485297715504</v>
      </c>
      <c r="I19" s="22">
        <v>2.4923227403566299</v>
      </c>
      <c r="J19" s="22">
        <v>4.5204473484463499</v>
      </c>
      <c r="K19" s="22">
        <v>-1.799041156818</v>
      </c>
      <c r="L19" s="22">
        <v>12.1888250961005</v>
      </c>
      <c r="M19" s="22">
        <v>7.60190775989106</v>
      </c>
      <c r="N19" s="22">
        <v>3.31619210614162</v>
      </c>
      <c r="O19" s="22">
        <v>4.9689262980863198</v>
      </c>
      <c r="P19" s="22">
        <v>3.5308843789972499</v>
      </c>
      <c r="Q19" s="22">
        <v>3.5843793022404999</v>
      </c>
      <c r="R19" s="22">
        <v>2.4018640642297702</v>
      </c>
      <c r="S19" s="22">
        <v>4.7490996380313701</v>
      </c>
      <c r="T19" s="22">
        <v>2.43844458373772</v>
      </c>
      <c r="U19" s="22">
        <v>2.1892686307745399</v>
      </c>
      <c r="V19" s="22">
        <v>2.3519484434081801</v>
      </c>
      <c r="W19" s="22">
        <v>5.3401324595253996</v>
      </c>
      <c r="X19" s="22">
        <v>6.6101888630461003</v>
      </c>
      <c r="Y19" s="22">
        <v>2.6444624603906699</v>
      </c>
      <c r="Z19" s="22">
        <v>2.2562648209092</v>
      </c>
      <c r="AA19" s="22">
        <v>2.2220184740956399</v>
      </c>
      <c r="AB19" s="22">
        <v>2.45554693696808</v>
      </c>
      <c r="AC19" s="22">
        <v>2.62765099195546</v>
      </c>
      <c r="AD19" s="22">
        <v>2.6340288792925</v>
      </c>
      <c r="AE19" s="22">
        <v>2.6442411439067302</v>
      </c>
    </row>
    <row r="20" spans="1:31" x14ac:dyDescent="0.2">
      <c r="A20" s="3">
        <v>19</v>
      </c>
      <c r="B20" s="4" t="s">
        <v>51</v>
      </c>
      <c r="C20" s="5" t="s">
        <v>125</v>
      </c>
      <c r="D20" s="4" t="s">
        <v>115</v>
      </c>
      <c r="E20" s="4" t="s">
        <v>125</v>
      </c>
      <c r="F20" s="4" t="s">
        <v>56</v>
      </c>
      <c r="G20" s="4" t="s">
        <v>109</v>
      </c>
      <c r="H20" s="21">
        <v>209.93459927862901</v>
      </c>
      <c r="I20" s="21">
        <v>201.87030351784099</v>
      </c>
      <c r="J20" s="21">
        <v>204.55524144924601</v>
      </c>
      <c r="K20" s="21">
        <v>1091.24817662189</v>
      </c>
      <c r="L20" s="21">
        <v>1077.5388708791099</v>
      </c>
      <c r="M20" s="21">
        <v>1021.63566395778</v>
      </c>
      <c r="N20" s="21">
        <v>201.51987630995899</v>
      </c>
      <c r="O20" s="21">
        <v>209.68378267861101</v>
      </c>
      <c r="P20" s="21">
        <v>202.20459541173</v>
      </c>
      <c r="Q20" s="21">
        <v>182.91564383246299</v>
      </c>
      <c r="R20" s="21">
        <v>197.60011382676601</v>
      </c>
      <c r="S20" s="21">
        <v>197.36724297868599</v>
      </c>
      <c r="T20" s="21">
        <v>210.33377062807401</v>
      </c>
      <c r="U20" s="21">
        <v>204.04050966088801</v>
      </c>
      <c r="V20" s="21">
        <v>210.93758258816601</v>
      </c>
      <c r="W20" s="21">
        <v>211.828358411724</v>
      </c>
      <c r="X20" s="21">
        <v>189.305138120419</v>
      </c>
      <c r="Y20" s="21">
        <v>214.62134539922499</v>
      </c>
      <c r="Z20" s="21">
        <v>203.63178336931</v>
      </c>
      <c r="AA20" s="21">
        <v>164.932455465792</v>
      </c>
      <c r="AB20" s="21">
        <v>200.27903375197999</v>
      </c>
      <c r="AC20" s="21">
        <v>213.643298702002</v>
      </c>
      <c r="AD20" s="21">
        <v>209.66516616401799</v>
      </c>
      <c r="AE20" s="21">
        <v>211.43418531799</v>
      </c>
    </row>
    <row r="21" spans="1:31" x14ac:dyDescent="0.2">
      <c r="A21" s="3">
        <v>20</v>
      </c>
      <c r="B21" s="7" t="s">
        <v>138</v>
      </c>
      <c r="C21" s="8" t="s">
        <v>125</v>
      </c>
      <c r="D21" s="7" t="s">
        <v>150</v>
      </c>
      <c r="E21" s="7" t="s">
        <v>125</v>
      </c>
      <c r="F21" s="7" t="s">
        <v>85</v>
      </c>
      <c r="G21" s="7" t="s">
        <v>109</v>
      </c>
      <c r="H21" s="22">
        <v>1.2077703465747001</v>
      </c>
      <c r="I21" s="22">
        <v>0.691252907287494</v>
      </c>
      <c r="J21" s="22">
        <v>0.68630241898910105</v>
      </c>
      <c r="K21" s="22">
        <v>-18.684835580824799</v>
      </c>
      <c r="L21" s="22">
        <v>4.0831671648107699</v>
      </c>
      <c r="M21" s="22">
        <v>0.34609476803209699</v>
      </c>
      <c r="N21" s="22">
        <v>1.15888099590327</v>
      </c>
      <c r="O21" s="22">
        <v>1.42853978773575</v>
      </c>
      <c r="P21" s="22">
        <v>0.87648698255903401</v>
      </c>
      <c r="Q21" s="22">
        <v>0.17938395066021301</v>
      </c>
      <c r="R21" s="22">
        <v>0.67875483409068504</v>
      </c>
      <c r="S21" s="22">
        <v>-7.2386165128692603</v>
      </c>
      <c r="T21" s="22">
        <v>0.72698413190951605</v>
      </c>
      <c r="U21" s="22">
        <v>1.53869978542547</v>
      </c>
      <c r="V21" s="22">
        <v>0.78362262843720698</v>
      </c>
      <c r="W21" s="22">
        <v>0.63990870238584796</v>
      </c>
      <c r="X21" s="22">
        <v>3.11565372891932</v>
      </c>
      <c r="Y21" s="22">
        <v>0.89345577420836497</v>
      </c>
      <c r="Z21" s="22">
        <v>0.68680981658415796</v>
      </c>
      <c r="AA21" s="22">
        <v>1.9328411699611101</v>
      </c>
      <c r="AB21" s="22">
        <v>0.74556059588137102</v>
      </c>
      <c r="AC21" s="22">
        <v>0.86706076729445902</v>
      </c>
      <c r="AD21" s="22">
        <v>0.817766860039708</v>
      </c>
      <c r="AE21" s="22">
        <v>0.81310220557808799</v>
      </c>
    </row>
    <row r="22" spans="1:31" x14ac:dyDescent="0.2">
      <c r="A22" s="3">
        <v>21</v>
      </c>
      <c r="B22" s="4" t="s">
        <v>112</v>
      </c>
      <c r="C22" s="5" t="s">
        <v>125</v>
      </c>
      <c r="D22" s="4" t="s">
        <v>101</v>
      </c>
      <c r="E22" s="4" t="s">
        <v>125</v>
      </c>
      <c r="F22" s="4" t="s">
        <v>152</v>
      </c>
      <c r="G22" s="4" t="s">
        <v>109</v>
      </c>
      <c r="H22" s="21">
        <v>226.815448412367</v>
      </c>
      <c r="I22" s="21">
        <v>65.022586498516702</v>
      </c>
      <c r="J22" s="21">
        <v>38.419262412177602</v>
      </c>
      <c r="K22" s="21">
        <v>2225.3163391888902</v>
      </c>
      <c r="L22" s="21">
        <v>4.9779823639751104</v>
      </c>
      <c r="M22" s="21">
        <v>4309.7598435250902</v>
      </c>
      <c r="N22" s="21">
        <v>435.00558557807801</v>
      </c>
      <c r="O22" s="21">
        <v>770.83079806633202</v>
      </c>
      <c r="P22" s="21">
        <v>608.42337104680803</v>
      </c>
      <c r="Q22" s="21">
        <v>816.80150262943198</v>
      </c>
      <c r="R22" s="21">
        <v>1.5292568232114201</v>
      </c>
      <c r="S22" s="21">
        <v>6.6615473646674097</v>
      </c>
      <c r="T22" s="21">
        <v>1.1468017576701999E-2</v>
      </c>
      <c r="U22" s="21">
        <v>-6.5840152721890997</v>
      </c>
      <c r="V22" s="21">
        <v>0.55988407552951702</v>
      </c>
      <c r="W22" s="21">
        <v>3.57595036331728</v>
      </c>
      <c r="X22" s="21">
        <v>-0.86713637568220603</v>
      </c>
      <c r="Y22" s="21">
        <v>0.20034897901299301</v>
      </c>
      <c r="Z22" s="21">
        <v>1.25409273370676</v>
      </c>
      <c r="AA22" s="21">
        <v>0.73652182631335295</v>
      </c>
      <c r="AB22" s="21">
        <v>5.5904050151935399E-2</v>
      </c>
      <c r="AC22" s="21">
        <v>0.108560794989883</v>
      </c>
      <c r="AD22" s="21">
        <v>0.109145807188025</v>
      </c>
      <c r="AE22" s="21">
        <v>0.103176675820482</v>
      </c>
    </row>
    <row r="23" spans="1:31" x14ac:dyDescent="0.2">
      <c r="A23" s="3">
        <v>22</v>
      </c>
      <c r="B23" s="7" t="s">
        <v>95</v>
      </c>
      <c r="C23" s="8" t="s">
        <v>125</v>
      </c>
      <c r="D23" s="7" t="s">
        <v>92</v>
      </c>
      <c r="E23" s="7" t="s">
        <v>125</v>
      </c>
      <c r="F23" s="7" t="s">
        <v>124</v>
      </c>
      <c r="G23" s="7" t="s">
        <v>109</v>
      </c>
      <c r="H23" s="22">
        <v>285.86046669795297</v>
      </c>
      <c r="I23" s="22">
        <v>415.93616154734298</v>
      </c>
      <c r="J23" s="22">
        <v>10.8853442466757</v>
      </c>
      <c r="K23" s="22">
        <v>546.83704604355898</v>
      </c>
      <c r="L23" s="22">
        <v>2.3643208648596601</v>
      </c>
      <c r="M23" s="22">
        <v>181.745380801783</v>
      </c>
      <c r="N23" s="22">
        <v>571.27315003709998</v>
      </c>
      <c r="O23" s="22">
        <v>1007.9815947627</v>
      </c>
      <c r="P23" s="22">
        <v>817.72881971569097</v>
      </c>
      <c r="Q23" s="22">
        <v>1197.7764938626501</v>
      </c>
      <c r="R23" s="22">
        <v>0.219222265540754</v>
      </c>
      <c r="S23" s="22">
        <v>-4.7301137339806401</v>
      </c>
      <c r="T23" s="22">
        <v>-2.12694967712895E-2</v>
      </c>
      <c r="U23" s="22">
        <v>-6.5184003544895397</v>
      </c>
      <c r="V23" s="22">
        <v>0.192056344566257</v>
      </c>
      <c r="W23" s="22">
        <v>2.5008175457629802</v>
      </c>
      <c r="X23" s="22">
        <v>-1.81440283081833</v>
      </c>
      <c r="Y23" s="22">
        <v>0.104484838830452</v>
      </c>
      <c r="Z23" s="22">
        <v>1.7699830661225</v>
      </c>
      <c r="AA23" s="22">
        <v>0.27492440070378099</v>
      </c>
      <c r="AB23" s="22">
        <v>1.56088533291233E-2</v>
      </c>
      <c r="AC23" s="22">
        <v>3.8035797695028198E-2</v>
      </c>
      <c r="AD23" s="22">
        <v>3.8370396866478099E-2</v>
      </c>
      <c r="AE23" s="22">
        <v>3.6263514890769802E-2</v>
      </c>
    </row>
    <row r="24" spans="1:31" x14ac:dyDescent="0.2">
      <c r="A24" s="3">
        <v>23</v>
      </c>
      <c r="B24" s="4" t="s">
        <v>146</v>
      </c>
      <c r="C24" s="5" t="s">
        <v>125</v>
      </c>
      <c r="D24" s="4" t="s">
        <v>136</v>
      </c>
      <c r="E24" s="4" t="s">
        <v>125</v>
      </c>
      <c r="F24" s="4" t="s">
        <v>111</v>
      </c>
      <c r="G24" s="4" t="s">
        <v>109</v>
      </c>
      <c r="H24" s="21">
        <v>275.99760927415502</v>
      </c>
      <c r="I24" s="21">
        <v>357.698929480441</v>
      </c>
      <c r="J24" s="21">
        <v>10.79673328775</v>
      </c>
      <c r="K24" s="21">
        <v>519.83902826249096</v>
      </c>
      <c r="L24" s="21">
        <v>3.8926441230862698</v>
      </c>
      <c r="M24" s="21">
        <v>265.92944870391199</v>
      </c>
      <c r="N24" s="21">
        <v>536.70611411807795</v>
      </c>
      <c r="O24" s="21">
        <v>985.59323505107898</v>
      </c>
      <c r="P24" s="21">
        <v>766.65190459957296</v>
      </c>
      <c r="Q24" s="21">
        <v>1130.8011702896299</v>
      </c>
      <c r="R24" s="21">
        <v>0.20666051132945901</v>
      </c>
      <c r="S24" s="21">
        <v>-2.5773995162530801</v>
      </c>
      <c r="T24" s="21">
        <v>-1.4626483261342501E-2</v>
      </c>
      <c r="U24" s="21">
        <v>-6.54530163172823</v>
      </c>
      <c r="V24" s="21">
        <v>0.15357978763918001</v>
      </c>
      <c r="W24" s="21">
        <v>3.12784678092099</v>
      </c>
      <c r="X24" s="21">
        <v>-0.73733758497963897</v>
      </c>
      <c r="Y24" s="21">
        <v>0.15660588508823001</v>
      </c>
      <c r="Z24" s="21">
        <v>2.48021955615447</v>
      </c>
      <c r="AA24" s="21">
        <v>0.148708622690814</v>
      </c>
      <c r="AB24" s="21">
        <v>2.39223119107283E-2</v>
      </c>
      <c r="AC24" s="21">
        <v>3.8833547050158602E-2</v>
      </c>
      <c r="AD24" s="21">
        <v>3.9426167779356099E-2</v>
      </c>
      <c r="AE24" s="21">
        <v>4.2071695962124199E-2</v>
      </c>
    </row>
    <row r="25" spans="1:31" x14ac:dyDescent="0.2">
      <c r="A25" s="3">
        <v>24</v>
      </c>
      <c r="B25" s="7" t="s">
        <v>113</v>
      </c>
      <c r="C25" s="8" t="s">
        <v>125</v>
      </c>
      <c r="D25" s="7" t="s">
        <v>133</v>
      </c>
      <c r="E25" s="7" t="s">
        <v>125</v>
      </c>
      <c r="F25" s="7" t="s">
        <v>130</v>
      </c>
      <c r="G25" s="7" t="s">
        <v>109</v>
      </c>
      <c r="H25" s="22">
        <v>986.95180151341401</v>
      </c>
      <c r="I25" s="22">
        <v>307.01666461498502</v>
      </c>
      <c r="J25" s="22">
        <v>22.8917198377275</v>
      </c>
      <c r="K25" s="22">
        <v>499.13390176894001</v>
      </c>
      <c r="L25" s="22">
        <v>44.4158921564349</v>
      </c>
      <c r="M25" s="22">
        <v>499.39773162127102</v>
      </c>
      <c r="N25" s="22">
        <v>679.77889377879899</v>
      </c>
      <c r="O25" s="22">
        <v>1165.17367276763</v>
      </c>
      <c r="P25" s="22">
        <v>970.16467439757901</v>
      </c>
      <c r="Q25" s="22">
        <v>1466.3451147483099</v>
      </c>
      <c r="R25" s="22">
        <v>7.1341662128649102</v>
      </c>
      <c r="S25" s="22">
        <v>48.451469178419401</v>
      </c>
      <c r="T25" s="22">
        <v>-1.15251026539019E-2</v>
      </c>
      <c r="U25" s="22">
        <v>-6.0248835053127596</v>
      </c>
      <c r="V25" s="22">
        <v>0.64131632431665897</v>
      </c>
      <c r="W25" s="22">
        <v>3.2529404753438498</v>
      </c>
      <c r="X25" s="22">
        <v>-4.7916424817429704</v>
      </c>
      <c r="Y25" s="22">
        <v>7.7608349809964394E-2</v>
      </c>
      <c r="Z25" s="22">
        <v>7.0589386074479004</v>
      </c>
      <c r="AA25" s="22">
        <v>0.160162919411693</v>
      </c>
      <c r="AB25" s="22">
        <v>0.113676206950704</v>
      </c>
      <c r="AC25" s="22">
        <v>0.102082386143758</v>
      </c>
      <c r="AD25" s="22">
        <v>9.3344578338452999E-2</v>
      </c>
      <c r="AE25" s="22">
        <v>8.5173605538066993E-2</v>
      </c>
    </row>
    <row r="26" spans="1:31" x14ac:dyDescent="0.2">
      <c r="A26" s="3">
        <v>25</v>
      </c>
      <c r="B26" s="4" t="s">
        <v>8</v>
      </c>
      <c r="C26" s="5" t="s">
        <v>125</v>
      </c>
      <c r="D26" s="4" t="s">
        <v>135</v>
      </c>
      <c r="E26" s="4" t="s">
        <v>125</v>
      </c>
      <c r="F26" s="4" t="s">
        <v>74</v>
      </c>
      <c r="G26" s="4" t="s">
        <v>109</v>
      </c>
      <c r="H26" s="21">
        <v>241.314822574517</v>
      </c>
      <c r="I26" s="21">
        <v>37.6448206276945</v>
      </c>
      <c r="J26" s="21">
        <v>163.85154864624201</v>
      </c>
      <c r="K26" s="21">
        <v>366.763566610552</v>
      </c>
      <c r="L26" s="21">
        <v>10.587896159825201</v>
      </c>
      <c r="M26" s="12" t="s">
        <v>24</v>
      </c>
      <c r="N26" s="21">
        <v>264.58354555018099</v>
      </c>
      <c r="O26" s="21">
        <v>473.60033880941302</v>
      </c>
      <c r="P26" s="21">
        <v>380.90160429743997</v>
      </c>
      <c r="Q26" s="21">
        <v>494.79503761419198</v>
      </c>
      <c r="R26" s="21">
        <v>18.033912755739301</v>
      </c>
      <c r="S26" s="21">
        <v>-0.57542807912532701</v>
      </c>
      <c r="T26" s="21">
        <v>1.68287796141579E-2</v>
      </c>
      <c r="U26" s="21">
        <v>-6.2993052915856502</v>
      </c>
      <c r="V26" s="21">
        <v>1.24005253425499</v>
      </c>
      <c r="W26" s="21">
        <v>18.438354679368</v>
      </c>
      <c r="X26" s="21">
        <v>1.17356903966057</v>
      </c>
      <c r="Y26" s="21">
        <v>0.14788550171581599</v>
      </c>
      <c r="Z26" s="21">
        <v>1.4159217709460601</v>
      </c>
      <c r="AA26" s="21">
        <v>0.18971155056800901</v>
      </c>
      <c r="AB26" s="21">
        <v>0.112658175679057</v>
      </c>
      <c r="AC26" s="21">
        <v>0.18477423693473</v>
      </c>
      <c r="AD26" s="21">
        <v>0.18517100600955999</v>
      </c>
      <c r="AE26" s="21">
        <v>0.19051304550658499</v>
      </c>
    </row>
    <row r="27" spans="1:31" x14ac:dyDescent="0.2">
      <c r="A27" s="3">
        <v>26</v>
      </c>
      <c r="B27" s="7" t="s">
        <v>97</v>
      </c>
      <c r="C27" s="8" t="s">
        <v>125</v>
      </c>
      <c r="D27" s="7" t="s">
        <v>105</v>
      </c>
      <c r="E27" s="7" t="s">
        <v>125</v>
      </c>
      <c r="F27" s="7" t="s">
        <v>15</v>
      </c>
      <c r="G27" s="7" t="s">
        <v>109</v>
      </c>
      <c r="H27" s="22">
        <v>215.73807314858399</v>
      </c>
      <c r="I27" s="22">
        <v>204.19744500714199</v>
      </c>
      <c r="J27" s="22">
        <v>190.53426738070601</v>
      </c>
      <c r="K27" s="22">
        <v>1048.63410306024</v>
      </c>
      <c r="L27" s="22">
        <v>1016.7429236123</v>
      </c>
      <c r="M27" s="22">
        <v>1385.45124701807</v>
      </c>
      <c r="N27" s="22">
        <v>205.301606860124</v>
      </c>
      <c r="O27" s="22">
        <v>184.60572754145699</v>
      </c>
      <c r="P27" s="22">
        <v>203.71070333260499</v>
      </c>
      <c r="Q27" s="22">
        <v>174.103718183404</v>
      </c>
      <c r="R27" s="22">
        <v>198.20614458672699</v>
      </c>
      <c r="S27" s="22">
        <v>161.54896573974699</v>
      </c>
      <c r="T27" s="22">
        <v>166.52858537185301</v>
      </c>
      <c r="U27" s="22">
        <v>184.06585440779099</v>
      </c>
      <c r="V27" s="22">
        <v>220.832303243962</v>
      </c>
      <c r="W27" s="22">
        <v>211.400438758566</v>
      </c>
      <c r="X27" s="22">
        <v>158.51913786628401</v>
      </c>
      <c r="Y27" s="22">
        <v>180.70841216731</v>
      </c>
      <c r="Z27" s="22">
        <v>208.31669416455799</v>
      </c>
      <c r="AA27" s="22">
        <v>142.237490595314</v>
      </c>
      <c r="AB27" s="22">
        <v>188.16312511306501</v>
      </c>
      <c r="AC27" s="22">
        <v>213.88912094501799</v>
      </c>
      <c r="AD27" s="22">
        <v>207.30059795930799</v>
      </c>
      <c r="AE27" s="22">
        <v>191.084765271202</v>
      </c>
    </row>
    <row r="28" spans="1:31" x14ac:dyDescent="0.2">
      <c r="A28" s="3">
        <v>27</v>
      </c>
      <c r="B28" s="4" t="s">
        <v>75</v>
      </c>
      <c r="C28" s="5" t="s">
        <v>125</v>
      </c>
      <c r="D28" s="4" t="s">
        <v>70</v>
      </c>
      <c r="E28" s="4" t="s">
        <v>125</v>
      </c>
      <c r="F28" s="4" t="s">
        <v>7</v>
      </c>
      <c r="G28" s="4" t="s">
        <v>109</v>
      </c>
      <c r="H28" s="21">
        <v>0.90583410823315902</v>
      </c>
      <c r="I28" s="21">
        <v>0.625733297501746</v>
      </c>
      <c r="J28" s="21">
        <v>0.68064795793086397</v>
      </c>
      <c r="K28" s="21">
        <v>13.6969262606789</v>
      </c>
      <c r="L28" s="21">
        <v>3.4286489350346998</v>
      </c>
      <c r="M28" s="21">
        <v>16.239458999027001</v>
      </c>
      <c r="N28" s="21">
        <v>1.2836838366486101</v>
      </c>
      <c r="O28" s="21">
        <v>1.2111522370691601</v>
      </c>
      <c r="P28" s="21">
        <v>1.4598511181195299</v>
      </c>
      <c r="Q28" s="21">
        <v>0.71903691224666799</v>
      </c>
      <c r="R28" s="21">
        <v>0.61014296125359901</v>
      </c>
      <c r="S28" s="21">
        <v>-4.4062715291647203</v>
      </c>
      <c r="T28" s="21">
        <v>0.65856426621706299</v>
      </c>
      <c r="U28" s="21">
        <v>0.63795937507950495</v>
      </c>
      <c r="V28" s="21">
        <v>0.65394420269086695</v>
      </c>
      <c r="W28" s="21">
        <v>0.527945256287084</v>
      </c>
      <c r="X28" s="21">
        <v>2.6081117538210701</v>
      </c>
      <c r="Y28" s="21">
        <v>0.86783615617823795</v>
      </c>
      <c r="Z28" s="21">
        <v>0.60573493711124005</v>
      </c>
      <c r="AA28" s="21">
        <v>1.69137414342557</v>
      </c>
      <c r="AB28" s="21">
        <v>0.70745448635218799</v>
      </c>
      <c r="AC28" s="21">
        <v>0.80294113957784496</v>
      </c>
      <c r="AD28" s="21">
        <v>0.78165234513279802</v>
      </c>
      <c r="AE28" s="21">
        <v>0.79447111623757605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"/>
  <sheetViews>
    <sheetView workbookViewId="0"/>
  </sheetViews>
  <sheetFormatPr defaultColWidth="9.140625" defaultRowHeight="12.7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"/>
  <sheetViews>
    <sheetView workbookViewId="0"/>
  </sheetViews>
  <sheetFormatPr defaultColWidth="9.1406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Concentrations</vt:lpstr>
      <vt:lpstr>Calibration</vt:lpstr>
      <vt:lpstr>QAQC</vt:lpstr>
      <vt:lpstr>Raw Results</vt:lpstr>
      <vt:lpstr>Processed Results</vt:lpstr>
      <vt:lpstr>Reported Results</vt:lpstr>
      <vt:lpstr>Raw Intensities</vt:lpstr>
      <vt:lpstr>Raw Intensities RSDs</vt:lpstr>
      <vt:lpstr>Net Intensities</vt:lpstr>
      <vt:lpstr>Net Intensities RSDs</vt:lpstr>
      <vt:lpstr>Concentrations RSDs</vt:lpstr>
      <vt:lpstr>Unfactored Concentrations</vt:lpstr>
      <vt:lpstr>Internal Standards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 Glinski</cp:lastModifiedBy>
  <dcterms:created xsi:type="dcterms:W3CDTF">2025-02-03T21:19:06Z</dcterms:created>
  <dcterms:modified xsi:type="dcterms:W3CDTF">2025-04-25T17:36:48Z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