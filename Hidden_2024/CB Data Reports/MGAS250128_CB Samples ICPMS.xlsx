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mjglinsk_syr_edu/Documents/Desktop/Reports etc/Christian Bright/"/>
    </mc:Choice>
  </mc:AlternateContent>
  <xr:revisionPtr revIDLastSave="82" documentId="11_97ADC8CDE76746A16512987DB50C7902D4B6EBEE" xr6:coauthVersionLast="47" xr6:coauthVersionMax="47" xr10:uidLastSave="{166B90BD-5282-46A2-95EA-D2E0DD3C077D}"/>
  <bookViews>
    <workbookView xWindow="-120" yWindow="-120" windowWidth="29040" windowHeight="15840" activeTab="5" xr2:uid="{00000000-000D-0000-FFFF-FFFF00000000}"/>
  </bookViews>
  <sheets>
    <sheet name="Concentrations" sheetId="5" r:id="rId1"/>
    <sheet name="Calibration" sheetId="10" r:id="rId2"/>
    <sheet name="QAQC" sheetId="11" r:id="rId3"/>
    <sheet name="Raw Results" sheetId="12" r:id="rId4"/>
    <sheet name="Processed Results" sheetId="13" r:id="rId5"/>
    <sheet name="Reported Results" sheetId="14" r:id="rId6"/>
    <sheet name="Raw Intensities" sheetId="1" r:id="rId7"/>
    <sheet name="Raw Intensities RSDs" sheetId="2" r:id="rId8"/>
    <sheet name="Net Intensities" sheetId="3" r:id="rId9"/>
    <sheet name="Net Intensities RSDs" sheetId="4" r:id="rId10"/>
    <sheet name="Concentrations RSDs" sheetId="6" r:id="rId11"/>
    <sheet name="Unfactored Concentrations" sheetId="7" r:id="rId12"/>
    <sheet name="Internal Standards" sheetId="8" r:id="rId13"/>
    <sheet name="QC" sheetId="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2" l="1"/>
  <c r="AJ6" i="12"/>
  <c r="AJ7" i="12"/>
  <c r="AJ4" i="12"/>
  <c r="AI4" i="12" l="1"/>
  <c r="B14" i="11"/>
  <c r="AB2" i="12" l="1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B4" i="12"/>
  <c r="AC4" i="12"/>
  <c r="AD4" i="12"/>
  <c r="AE4" i="12"/>
  <c r="AF4" i="12"/>
  <c r="AG4" i="12"/>
  <c r="AH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B5" i="12"/>
  <c r="AC5" i="12"/>
  <c r="AD5" i="12"/>
  <c r="AE5" i="12"/>
  <c r="AF5" i="12"/>
  <c r="AG5" i="12"/>
  <c r="AH5" i="12"/>
  <c r="AI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B6" i="12"/>
  <c r="AC6" i="12"/>
  <c r="AD6" i="12"/>
  <c r="AE6" i="12"/>
  <c r="AF6" i="12"/>
  <c r="AG6" i="12"/>
  <c r="AH6" i="12"/>
  <c r="AI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B7" i="12"/>
  <c r="AC7" i="12"/>
  <c r="AD7" i="12"/>
  <c r="AE7" i="12"/>
  <c r="AF7" i="12"/>
  <c r="AG7" i="12"/>
  <c r="AH7" i="12"/>
  <c r="AI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X7" i="12"/>
  <c r="AY7" i="12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G4" i="11"/>
  <c r="AH4" i="11"/>
  <c r="AI4" i="11"/>
  <c r="AJ4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</calcChain>
</file>

<file path=xl/sharedStrings.xml><?xml version="1.0" encoding="utf-8"?>
<sst xmlns="http://schemas.openxmlformats.org/spreadsheetml/2006/main" count="1709" uniqueCount="227">
  <si>
    <t>P 31</t>
  </si>
  <si>
    <t>Sr 88
(cps)</t>
  </si>
  <si>
    <t>Al 27
(ug/L)</t>
  </si>
  <si>
    <t>Std5-500ppb</t>
  </si>
  <si>
    <t>1/28/2025 12:41:50 PM</t>
  </si>
  <si>
    <t>1/28/2025 11:58:40 AM</t>
  </si>
  <si>
    <t>1/28/2025 11:46:20 AM</t>
  </si>
  <si>
    <t>LCB</t>
  </si>
  <si>
    <t>C:\Users\Public\Documents\PerkinElmer Syngistix\ICPMS\DataSet\Mike G\January 2025\Ca Check 500ppb.015</t>
  </si>
  <si>
    <t>C:\Users\Public\Documents\PerkinElmer Syngistix\ICPMS\DataSet\Mike G\January 2025\LCB.027</t>
  </si>
  <si>
    <t>P 31
(ug/L)</t>
  </si>
  <si>
    <t>Co 59</t>
  </si>
  <si>
    <t>C:\Users\Public\Documents\PerkinElmer Syngistix\ICPMS\DataSet\Mike G\January 2025\Rinse.016</t>
  </si>
  <si>
    <t>QCB</t>
  </si>
  <si>
    <t>Ni 60
(ug/L)</t>
  </si>
  <si>
    <t>Se 82
(ug/L)</t>
  </si>
  <si>
    <t>Blank</t>
  </si>
  <si>
    <t>Mo 96
(cps)</t>
  </si>
  <si>
    <t>Ca-44 44
Helium KED
(ug/L)</t>
  </si>
  <si>
    <t>Se 78
(ug/L)</t>
  </si>
  <si>
    <t>C:\Users\Public\Documents\PerkinElmer Syngistix\ICPMS\DataSet\Mike G\January 2025\CCB1.019</t>
  </si>
  <si>
    <t>Ca-44std 44
(cps)</t>
  </si>
  <si>
    <t>C:\Users\Public\Documents\PerkinElmer Syngistix\ICPMS\DataSet\Mike G\January 2025\Blank.001</t>
  </si>
  <si>
    <t>Ca-44 44
Helium KED</t>
  </si>
  <si>
    <t>1/28/2025 1:55:53 PM</t>
  </si>
  <si>
    <t>S</t>
  </si>
  <si>
    <t>Co 59
(cps)</t>
  </si>
  <si>
    <t>Ni 60
(cps)</t>
  </si>
  <si>
    <t>Pb 207
(ug/L)</t>
  </si>
  <si>
    <t>C:\Users\Public\Documents\PerkinElmer Syngistix\ICPMS\DataSet\Mike G\January 2025\Std6-2000ppb.010</t>
  </si>
  <si>
    <t>C:\Users\Public\Documents\PerkinElmer Syngistix\ICPMS\DataSet\Mike G\January 2025\Blank.022</t>
  </si>
  <si>
    <t>Mg 24</t>
  </si>
  <si>
    <t>C:\Users\Public\Documents\PerkinElmer Syngistix\ICPMS\DataSet\Mike G\January 2025\Blank.002</t>
  </si>
  <si>
    <t>Mn 55
(cps)</t>
  </si>
  <si>
    <t>1/28/2025 2:26:42 PM</t>
  </si>
  <si>
    <t>K 39</t>
  </si>
  <si>
    <t>Si 28
(ug/L)</t>
  </si>
  <si>
    <t>Std1-5ppb</t>
  </si>
  <si>
    <t>Cd 113</t>
  </si>
  <si>
    <t>Mo 96
(ug/L)</t>
  </si>
  <si>
    <t>Na 23
(ug/L)</t>
  </si>
  <si>
    <t>Std3-50ppb</t>
  </si>
  <si>
    <t>Acquisition Time</t>
  </si>
  <si>
    <t>C:\Users\Public\Documents\PerkinElmer Syngistix\ICPMS\DataSet\Mike G\January 2025\Blank.024</t>
  </si>
  <si>
    <t>Se 82
(cps)</t>
  </si>
  <si>
    <t>Se 78
(cps)</t>
  </si>
  <si>
    <t>Ca-44 44
Helium KED
(cps)</t>
  </si>
  <si>
    <t>Ca Check 500ppb</t>
  </si>
  <si>
    <t>1/28/2025 12:54:09 PM</t>
  </si>
  <si>
    <t>C:\Users\Public\Documents\PerkinElmer Syngistix\ICPMS\DataSet\Mike G\January 2025\MWR NS.025</t>
  </si>
  <si>
    <t>Se 78</t>
  </si>
  <si>
    <t>K 39
(ug/L)</t>
  </si>
  <si>
    <t>Std2-20ppb</t>
  </si>
  <si>
    <t>C:\Users\Public\Documents\PerkinElmer Syngistix\ICPMS\DataSet\Mike G\January 2025\Rinse.012</t>
  </si>
  <si>
    <t>1/28/2025 1:06:28 PM</t>
  </si>
  <si>
    <t>CCV1</t>
  </si>
  <si>
    <t>Cal Curve 1</t>
  </si>
  <si>
    <t>Fe 57</t>
  </si>
  <si>
    <t>QC Status</t>
  </si>
  <si>
    <t>Si 28</t>
  </si>
  <si>
    <t>Cd 113
(ug/L)</t>
  </si>
  <si>
    <t>Pb 206</t>
  </si>
  <si>
    <t>Ca-43 43
Helium KED</t>
  </si>
  <si>
    <t>Ni 60</t>
  </si>
  <si>
    <t>K 39
(cps)</t>
  </si>
  <si>
    <t>P 31
(cps)</t>
  </si>
  <si>
    <t xml:space="preserve"> </t>
  </si>
  <si>
    <t>Co 59
(ug/L)</t>
  </si>
  <si>
    <t>C:\Users\Public\Documents\PerkinElmer Syngistix\ICPMS\DataSet\Mike G\January 2025\CCB2.029</t>
  </si>
  <si>
    <t>MDL (2.5)</t>
  </si>
  <si>
    <t>Mg 24
(cps)</t>
  </si>
  <si>
    <t>CCB2</t>
  </si>
  <si>
    <t>1/28/2025 12:35:41 PM</t>
  </si>
  <si>
    <t>C:\Users\Public\Documents\PerkinElmer Syngistix\ICPMS\DataSet\Mike G\January 2025\QCS 200ppb.013</t>
  </si>
  <si>
    <t>1/28/2025 1:37:20 PM</t>
  </si>
  <si>
    <t>Dataset File</t>
  </si>
  <si>
    <t>Rinse</t>
  </si>
  <si>
    <t>C:\Users\Public\Documents\PerkinElmer Syngistix\ICPMS\DataSet\Mike G\January 2025\Blank.003</t>
  </si>
  <si>
    <t>Ca-43std 43
(ug/L)</t>
  </si>
  <si>
    <t>Ca-44std 44
(ug/L)</t>
  </si>
  <si>
    <t>1/28/2025 2:32:53 PM</t>
  </si>
  <si>
    <t>Pb 206
(ug/L)</t>
  </si>
  <si>
    <t>Sr 88
(ug/L)</t>
  </si>
  <si>
    <t>Calibration Curves</t>
  </si>
  <si>
    <t>1/28/2025 2:02:03 PM</t>
  </si>
  <si>
    <t>1/28/2025 11:52:30 AM</t>
  </si>
  <si>
    <t>1/28/2025 12:17:08 PM</t>
  </si>
  <si>
    <t>1/28/2025 12:04:48 PM</t>
  </si>
  <si>
    <t>Std6-2000ppb</t>
  </si>
  <si>
    <t>C:\Users\Public\Documents\PerkinElmer Syngistix\ICPMS\DataSet\Mike G\January 2025\Std1-5ppb.005</t>
  </si>
  <si>
    <t>C:\Users\Public\Documents\PerkinElmer Syngistix\ICPMS\DataSet\Mike G\January 2025\Std4-200ppb.008</t>
  </si>
  <si>
    <t>C:\Users\Public\Documents\PerkinElmer Syngistix\ICPMS\DataSet\Mike G\January 2025\LCB.026</t>
  </si>
  <si>
    <t>Cu 63
(ug/L)</t>
  </si>
  <si>
    <t>C:\Users\Public\Documents\PerkinElmer Syngistix\ICPMS\DataSet\Mike G\January 2025\MDL (2.5).017</t>
  </si>
  <si>
    <t>Na 23</t>
  </si>
  <si>
    <t>Pb 207
(cps)</t>
  </si>
  <si>
    <t>Pb 206
(cps)</t>
  </si>
  <si>
    <t>Mo 96</t>
  </si>
  <si>
    <t>1/28/2025 1:43:30 PM</t>
  </si>
  <si>
    <t>Al 27</t>
  </si>
  <si>
    <t>1/28/2025 2:08:15 PM</t>
  </si>
  <si>
    <t>MWR NE</t>
  </si>
  <si>
    <t>1/28/2025 1:24:58 PM</t>
  </si>
  <si>
    <t>C:\Users\Public\Documents\PerkinElmer Syngistix\ICPMS\DataSet\Mike G\January 2025\QCB.014</t>
  </si>
  <si>
    <t>1/28/2025 12:47:59 PM</t>
  </si>
  <si>
    <t>Std4-200ppb</t>
  </si>
  <si>
    <t>C:\Users\Public\Documents\PerkinElmer Syngistix\ICPMS\DataSet\Mike G\January 2025\CCV1.018</t>
  </si>
  <si>
    <t>R</t>
  </si>
  <si>
    <t>C:\Users\Public\Documents\PerkinElmer Syngistix\ICPMS\DataSet\Mike G\January 2025\CC2.028</t>
  </si>
  <si>
    <t>C:\Users\Public\Documents\PerkinElmer Syngistix\ICPMS\DataSet\Mike G\January 2025\Std5-500ppb.009</t>
  </si>
  <si>
    <t>1/28/2025 2:20:33 PM</t>
  </si>
  <si>
    <t>C:\Users\Public\Documents\PerkinElmer Syngistix\ICPMS\DataSet\Mike G\January 2025\Blank.004</t>
  </si>
  <si>
    <t>Cd 113
(cps)</t>
  </si>
  <si>
    <t>C:\Users\Public\Documents\PerkinElmer Syngistix\ICPMS\DataSet\Mike G\January 2025\Std2-20ppb.006</t>
  </si>
  <si>
    <t>Mn 55</t>
  </si>
  <si>
    <t>1/28/2025 2:39:03 PM</t>
  </si>
  <si>
    <t>1/28/2025 12:23:19 PM</t>
  </si>
  <si>
    <t>Ca-43 43
Helium KED
(cps)</t>
  </si>
  <si>
    <t>C:\Users\Public\Documents\PerkinElmer Syngistix\ICPMS\Method\Rachael\HBEF_Big_Cat_Regular_MG240807.mth</t>
  </si>
  <si>
    <t>CB Blank</t>
  </si>
  <si>
    <t>1/28/2025 1:18:47 PM</t>
  </si>
  <si>
    <t>Ca-44std 44</t>
  </si>
  <si>
    <t>1/28/2025 2:14:24 PM</t>
  </si>
  <si>
    <t>Fe 57
(cps)</t>
  </si>
  <si>
    <t>Zn 68
(cps)</t>
  </si>
  <si>
    <t>Ca-43 43
Helium KED
(ug/L)</t>
  </si>
  <si>
    <t>Pb 208
(cps)</t>
  </si>
  <si>
    <t>Sr 88</t>
  </si>
  <si>
    <t>Si 28
(cps)</t>
  </si>
  <si>
    <t>Al 27
(cps)</t>
  </si>
  <si>
    <t>QCS 200ppb</t>
  </si>
  <si>
    <t>1/28/2025 1:12:38 PM</t>
  </si>
  <si>
    <t/>
  </si>
  <si>
    <t>C:\Users\Public\Documents\PerkinElmer Syngistix\ICPMS\DataSet\Mike G\January 2025\MWR SE.023</t>
  </si>
  <si>
    <t>Method File</t>
  </si>
  <si>
    <t>Na 23
(cps)</t>
  </si>
  <si>
    <t>1/28/2025 12:10:58 PM</t>
  </si>
  <si>
    <t>MWR NS</t>
  </si>
  <si>
    <t>Sample Id</t>
  </si>
  <si>
    <t>Se 82</t>
  </si>
  <si>
    <t>Fe 57
(ug/L)</t>
  </si>
  <si>
    <t>Pb 208</t>
  </si>
  <si>
    <t>CCB1</t>
  </si>
  <si>
    <t>Pb 208
(ug/L)</t>
  </si>
  <si>
    <t>C:\Users\Public\Documents\PerkinElmer Syngistix\ICPMS\DataSet\Mike G\January 2025\Std3-50ppb.007</t>
  </si>
  <si>
    <t>CC2</t>
  </si>
  <si>
    <t>Cu 63
(cps)</t>
  </si>
  <si>
    <t>C:\Users\Public\Documents\PerkinElmer Syngistix\ICPMS\DataSet\Mike G\January 2025\Cal Curve 1.011</t>
  </si>
  <si>
    <t>Mg 24
(ug/L)</t>
  </si>
  <si>
    <t>Mn 55
(ug/L)</t>
  </si>
  <si>
    <t>MWR SE</t>
  </si>
  <si>
    <t>Cu 63</t>
  </si>
  <si>
    <t>1/28/2025 1:49:41 PM</t>
  </si>
  <si>
    <t>1/28/2025 1:00:18 PM</t>
  </si>
  <si>
    <t>Pb 207</t>
  </si>
  <si>
    <t>Ca-43std 43
(cps)</t>
  </si>
  <si>
    <t>1/28/2025 1:31:09 PM</t>
  </si>
  <si>
    <t>1/28/2025 12:29:30 PM</t>
  </si>
  <si>
    <t>C:\Users\Public\Documents\PerkinElmer Syngistix\ICPMS\DataSet\Mike G\January 2025\MWR NE.021</t>
  </si>
  <si>
    <t>Ca-43std 43</t>
  </si>
  <si>
    <t>C:\Users\Public\Documents\PerkinElmer Syngistix\ICPMS\DataSet\Mike G\January 2025\CB Blank.020</t>
  </si>
  <si>
    <t>Zn 68</t>
  </si>
  <si>
    <t>Zn 68
(ug/L)</t>
  </si>
  <si>
    <t>Std5-2000ppb</t>
  </si>
  <si>
    <t>ppb</t>
  </si>
  <si>
    <t>Se 82
(mg/L)</t>
  </si>
  <si>
    <t>Se 78
(mg/L)</t>
  </si>
  <si>
    <t>Ca 44
(ug/L)</t>
  </si>
  <si>
    <t>Ca 43
(ug/L)</t>
  </si>
  <si>
    <t>Average</t>
  </si>
  <si>
    <t>LCB1</t>
  </si>
  <si>
    <t>Blk</t>
  </si>
  <si>
    <t>CCV2</t>
  </si>
  <si>
    <t>CCV1 200 ppb</t>
  </si>
  <si>
    <t>MDL</t>
  </si>
  <si>
    <r>
      <rPr>
        <b/>
        <sz val="8"/>
        <rFont val="Tahoma"/>
        <family val="2"/>
      </rPr>
      <t>^</t>
    </r>
    <r>
      <rPr>
        <sz val="8"/>
        <rFont val="Tahoma"/>
        <family val="2"/>
      </rPr>
      <t>ICV based on SiO2</t>
    </r>
  </si>
  <si>
    <t>Ca Chk 500 ppb</t>
  </si>
  <si>
    <r>
      <t xml:space="preserve">Clear all highlighting, then highlight cells to exactly match the highlighting of the conditional formatting       </t>
    </r>
    <r>
      <rPr>
        <sz val="28"/>
        <color theme="1"/>
        <rFont val="Arial"/>
        <family val="2"/>
      </rPr>
      <t>→</t>
    </r>
  </si>
  <si>
    <t>Max Conc</t>
  </si>
  <si>
    <t>Blk Avg</t>
  </si>
  <si>
    <t>Pb 208
(g/mol)</t>
  </si>
  <si>
    <t>Pb 207
(g/mol)</t>
  </si>
  <si>
    <t>Pb 206
(g/mol)</t>
  </si>
  <si>
    <t>Cd 113
(g/mol)</t>
  </si>
  <si>
    <t>Mo 96
(g/mol)</t>
  </si>
  <si>
    <t>Sr 88
(g/mol)</t>
  </si>
  <si>
    <t>Se 82
(g/mol)</t>
  </si>
  <si>
    <t>Zn 68
(g/mol)</t>
  </si>
  <si>
    <t>Cu 63
(g/mol)</t>
  </si>
  <si>
    <t>Ni 60
(g/mol)</t>
  </si>
  <si>
    <t>Co 59
(g/mol)</t>
  </si>
  <si>
    <t>Fe 57
(g/mol)</t>
  </si>
  <si>
    <t>Mn 55
(g/mol)</t>
  </si>
  <si>
    <t>Ca 44
(g/mol)</t>
  </si>
  <si>
    <t>Ca 43
(g/mol)</t>
  </si>
  <si>
    <t>Ca 42
(g/mol)</t>
  </si>
  <si>
    <t>K 39
(g/mol)</t>
  </si>
  <si>
    <t>P 31
(g/mol)</t>
  </si>
  <si>
    <t>Si 28
(g/mol)</t>
  </si>
  <si>
    <t>Al 27
(g/mol)</t>
  </si>
  <si>
    <t>Mg 24
(g/mol)</t>
  </si>
  <si>
    <t>Na 23
(g/mol)</t>
  </si>
  <si>
    <t>Pb 208
(umol/L)</t>
  </si>
  <si>
    <t>Pb 207
(umol/L)</t>
  </si>
  <si>
    <t>Pb 206
(umol/L)</t>
  </si>
  <si>
    <t>Cd 113
(umol/L)</t>
  </si>
  <si>
    <t>Mo 96
(umol/L)</t>
  </si>
  <si>
    <t>Sr 88
(umol/L)</t>
  </si>
  <si>
    <t>Zn 68
(umol/L)</t>
  </si>
  <si>
    <t>Cu 63
(umol/L)</t>
  </si>
  <si>
    <t>Ni 60
(umol/L)</t>
  </si>
  <si>
    <t>Co 59
(umol/L)</t>
  </si>
  <si>
    <t>Fe 57
(umol/L)</t>
  </si>
  <si>
    <t>Mn 55
(umol/L)</t>
  </si>
  <si>
    <t>Ca 44
(umol/L)</t>
  </si>
  <si>
    <t>Ca 44 Helium KED
(umol/L)</t>
  </si>
  <si>
    <t>Ca 43
(umol/L)</t>
  </si>
  <si>
    <t>Ca 43 Helium KED
(umol/L)</t>
  </si>
  <si>
    <t>K 39
(umol/L)</t>
  </si>
  <si>
    <t>P 31
(umol/L)</t>
  </si>
  <si>
    <t>Si 28
(umol/L)</t>
  </si>
  <si>
    <t>Al 27
(umol/L)</t>
  </si>
  <si>
    <t>Mg 24
(umol/L)</t>
  </si>
  <si>
    <t>Na 23
(umol/L)</t>
  </si>
  <si>
    <r>
      <t xml:space="preserve">Post Cation Concentration (umol/L) Data from 'Raw Results' here </t>
    </r>
    <r>
      <rPr>
        <b/>
        <sz val="14"/>
        <color rgb="FF000000"/>
        <rFont val="Arial"/>
        <family val="2"/>
      </rPr>
      <t>↓</t>
    </r>
    <r>
      <rPr>
        <b/>
        <sz val="12"/>
        <color rgb="FF000000"/>
        <rFont val="Arial"/>
        <family val="2"/>
      </rPr>
      <t xml:space="preserve"> and Clear Conditional Formatting</t>
    </r>
  </si>
  <si>
    <t>Si 28 
(umol/L)</t>
  </si>
  <si>
    <t>QCS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</si>
</sst>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8" x14ac:knownFonts="1">
    <font>
      <sz val="10"/>
      <color rgb="FF000000"/>
      <name val="Arial"/>
      <family val="2"/>
    </font>
    <font>
      <b/>
      <sz val="8"/>
      <color indexed="9"/>
      <name val="Tahoma"/>
      <family val="2"/>
    </font>
    <font>
      <sz val="8"/>
      <color indexed="64"/>
      <name val="Tahoma"/>
      <family val="2"/>
    </font>
    <font>
      <sz val="8"/>
      <color rgb="FF000000"/>
      <name val="Tahoma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theme="1"/>
      <name val="Tahoma"/>
      <family val="2"/>
    </font>
    <font>
      <sz val="28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Tahoma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8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rgb="FF00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rgb="FFEBFFD0"/>
        <bgColor indexed="12"/>
      </patternFill>
    </fill>
    <fill>
      <patternFill patternType="solid">
        <fgColor indexed="11"/>
        <bgColor indexed="12"/>
      </patternFill>
    </fill>
    <fill>
      <patternFill patternType="solid">
        <fgColor indexed="8"/>
      </patternFill>
    </fill>
    <fill>
      <patternFill patternType="solid">
        <fgColor indexed="11"/>
      </patternFill>
    </fill>
    <fill>
      <patternFill patternType="solid">
        <fgColor rgb="FFFFFFFF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1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12"/>
      </patternFill>
    </fill>
    <fill>
      <patternFill patternType="solid">
        <fgColor rgb="FFFF339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top"/>
    </xf>
    <xf numFmtId="166" fontId="2" fillId="0" borderId="2" xfId="0" applyNumberFormat="1" applyFont="1" applyBorder="1" applyAlignment="1">
      <alignment horizontal="left" vertical="center"/>
    </xf>
    <xf numFmtId="166" fontId="2" fillId="4" borderId="2" xfId="0" applyNumberFormat="1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top"/>
    </xf>
    <xf numFmtId="0" fontId="4" fillId="7" borderId="2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6" fillId="0" borderId="0" xfId="0" applyNumberFormat="1" applyFont="1"/>
    <xf numFmtId="1" fontId="0" fillId="0" borderId="0" xfId="0" applyNumberFormat="1"/>
    <xf numFmtId="166" fontId="0" fillId="8" borderId="0" xfId="0" applyNumberFormat="1" applyFill="1"/>
    <xf numFmtId="0" fontId="2" fillId="8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166" fontId="2" fillId="9" borderId="0" xfId="0" applyNumberFormat="1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166" fontId="2" fillId="4" borderId="0" xfId="0" applyNumberFormat="1" applyFont="1" applyFill="1" applyAlignment="1">
      <alignment horizontal="left" vertical="center"/>
    </xf>
    <xf numFmtId="2" fontId="7" fillId="0" borderId="2" xfId="0" applyNumberFormat="1" applyFont="1" applyBorder="1" applyAlignment="1">
      <alignment horizontal="left" vertical="center"/>
    </xf>
    <xf numFmtId="2" fontId="7" fillId="4" borderId="2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left" vertical="center"/>
    </xf>
    <xf numFmtId="2" fontId="7" fillId="4" borderId="6" xfId="0" applyNumberFormat="1" applyFont="1" applyFill="1" applyBorder="1" applyAlignment="1">
      <alignment horizontal="center" vertical="center"/>
    </xf>
    <xf numFmtId="2" fontId="7" fillId="4" borderId="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/>
    <xf numFmtId="166" fontId="5" fillId="0" borderId="0" xfId="0" applyNumberFormat="1" applyFon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6" fontId="9" fillId="10" borderId="13" xfId="0" applyNumberFormat="1" applyFont="1" applyFill="1" applyBorder="1" applyAlignment="1">
      <alignment horizontal="left" vertical="center"/>
    </xf>
    <xf numFmtId="0" fontId="9" fillId="10" borderId="14" xfId="0" applyFont="1" applyFill="1" applyBorder="1" applyAlignment="1">
      <alignment horizontal="left" vertical="center"/>
    </xf>
    <xf numFmtId="1" fontId="9" fillId="10" borderId="13" xfId="0" applyNumberFormat="1" applyFont="1" applyFill="1" applyBorder="1" applyAlignment="1">
      <alignment horizontal="left" vertical="center"/>
    </xf>
    <xf numFmtId="1" fontId="9" fillId="10" borderId="15" xfId="0" applyNumberFormat="1" applyFont="1" applyFill="1" applyBorder="1" applyAlignment="1">
      <alignment horizontal="left" vertical="center"/>
    </xf>
    <xf numFmtId="0" fontId="9" fillId="10" borderId="13" xfId="0" applyFont="1" applyFill="1" applyBorder="1" applyAlignment="1">
      <alignment horizontal="left" vertical="center"/>
    </xf>
    <xf numFmtId="0" fontId="11" fillId="0" borderId="0" xfId="0" applyFont="1"/>
    <xf numFmtId="166" fontId="9" fillId="9" borderId="13" xfId="0" applyNumberFormat="1" applyFont="1" applyFill="1" applyBorder="1" applyAlignment="1">
      <alignment horizontal="left" vertical="center"/>
    </xf>
    <xf numFmtId="0" fontId="9" fillId="9" borderId="14" xfId="0" applyFont="1" applyFill="1" applyBorder="1" applyAlignment="1">
      <alignment horizontal="left" vertical="center"/>
    </xf>
    <xf numFmtId="0" fontId="9" fillId="9" borderId="13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12" borderId="16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166" fontId="6" fillId="0" borderId="0" xfId="0" applyNumberFormat="1" applyFont="1"/>
    <xf numFmtId="0" fontId="3" fillId="0" borderId="0" xfId="0" applyFont="1"/>
    <xf numFmtId="166" fontId="6" fillId="15" borderId="0" xfId="0" applyNumberFormat="1" applyFont="1" applyFill="1"/>
    <xf numFmtId="166" fontId="7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66" fontId="2" fillId="9" borderId="8" xfId="0" applyNumberFormat="1" applyFont="1" applyFill="1" applyBorder="1" applyAlignment="1">
      <alignment horizontal="left" vertical="center"/>
    </xf>
    <xf numFmtId="0" fontId="8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left" vertical="center"/>
    </xf>
    <xf numFmtId="166" fontId="2" fillId="4" borderId="3" xfId="0" applyNumberFormat="1" applyFont="1" applyFill="1" applyBorder="1" applyAlignment="1">
      <alignment horizontal="left" vertical="center"/>
    </xf>
    <xf numFmtId="166" fontId="9" fillId="0" borderId="9" xfId="0" applyNumberFormat="1" applyFont="1" applyFill="1" applyBorder="1" applyAlignment="1">
      <alignment horizontal="left" vertical="center"/>
    </xf>
    <xf numFmtId="166" fontId="9" fillId="0" borderId="6" xfId="0" applyNumberFormat="1" applyFont="1" applyFill="1" applyBorder="1" applyAlignment="1">
      <alignment horizontal="left" vertical="center"/>
    </xf>
    <xf numFmtId="166" fontId="5" fillId="0" borderId="0" xfId="0" applyNumberFormat="1" applyFont="1" applyFill="1"/>
    <xf numFmtId="166" fontId="9" fillId="10" borderId="6" xfId="0" applyNumberFormat="1" applyFont="1" applyFill="1" applyBorder="1" applyAlignment="1">
      <alignment horizontal="left" vertical="center"/>
    </xf>
    <xf numFmtId="166" fontId="9" fillId="9" borderId="9" xfId="0" applyNumberFormat="1" applyFont="1" applyFill="1" applyBorder="1" applyAlignment="1">
      <alignment horizontal="left" vertical="center"/>
    </xf>
    <xf numFmtId="166" fontId="9" fillId="9" borderId="6" xfId="0" applyNumberFormat="1" applyFont="1" applyFill="1" applyBorder="1" applyAlignment="1">
      <alignment horizontal="left" vertical="center"/>
    </xf>
    <xf numFmtId="166" fontId="15" fillId="9" borderId="9" xfId="0" applyNumberFormat="1" applyFont="1" applyFill="1" applyBorder="1" applyAlignment="1">
      <alignment horizontal="left" vertical="center"/>
    </xf>
    <xf numFmtId="166" fontId="15" fillId="0" borderId="6" xfId="0" applyNumberFormat="1" applyFont="1" applyFill="1" applyBorder="1" applyAlignment="1">
      <alignment horizontal="left" vertical="center"/>
    </xf>
    <xf numFmtId="166" fontId="15" fillId="10" borderId="6" xfId="0" applyNumberFormat="1" applyFont="1" applyFill="1" applyBorder="1" applyAlignment="1">
      <alignment horizontal="left" vertical="center"/>
    </xf>
    <xf numFmtId="166" fontId="15" fillId="9" borderId="6" xfId="0" applyNumberFormat="1" applyFont="1" applyFill="1" applyBorder="1" applyAlignment="1">
      <alignment horizontal="left" vertical="center"/>
    </xf>
    <xf numFmtId="166" fontId="15" fillId="0" borderId="9" xfId="0" applyNumberFormat="1" applyFont="1" applyFill="1" applyBorder="1" applyAlignment="1">
      <alignment horizontal="left" vertical="center"/>
    </xf>
    <xf numFmtId="166" fontId="9" fillId="0" borderId="1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15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000000"/>
      <rgbColor rgb="00A9A9A9"/>
      <rgbColor rgb="00F0F0F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Na, Mg,</a:t>
            </a:r>
            <a:r>
              <a:rPr lang="en-US" baseline="0">
                <a:solidFill>
                  <a:sysClr val="windowText" lastClr="000000"/>
                </a:solidFill>
              </a:rPr>
              <a:t> Al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3008900203264063"/>
          <c:y val="3.7786754834989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819134450298992E-2"/>
          <c:y val="0.14379922904289635"/>
          <c:w val="0.86539241805300648"/>
          <c:h val="0.5753066897366416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Calibration!$B$1</c:f>
              <c:strCache>
                <c:ptCount val="1"/>
                <c:pt idx="0">
                  <c:v>Na 23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alpha val="97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254652378978943"/>
                  <c:y val="-0.165355077273158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Calibration!$B$2:$B$7</c:f>
              <c:numCache>
                <c:formatCode>0.000</c:formatCode>
                <c:ptCount val="6"/>
                <c:pt idx="0">
                  <c:v>5</c:v>
                </c:pt>
                <c:pt idx="1">
                  <c:v>19.694258083558001</c:v>
                </c:pt>
                <c:pt idx="2">
                  <c:v>49.992265141743999</c:v>
                </c:pt>
                <c:pt idx="3">
                  <c:v>200.27006382619001</c:v>
                </c:pt>
                <c:pt idx="4">
                  <c:v>499.08309498343698</c:v>
                </c:pt>
                <c:pt idx="5">
                  <c:v>1991.7794759138701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22-4629-BB87-EC4701749237}"/>
            </c:ext>
          </c:extLst>
        </c:ser>
        <c:ser>
          <c:idx val="1"/>
          <c:order val="1"/>
          <c:tx>
            <c:strRef>
              <c:f>Calibration!$C$1</c:f>
              <c:strCache>
                <c:ptCount val="1"/>
                <c:pt idx="0">
                  <c:v>Mg 24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4226313816036151E-4"/>
                  <c:y val="-0.163324517965973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Calibration!$C$2:$C$7</c:f>
              <c:numCache>
                <c:formatCode>0.000</c:formatCode>
                <c:ptCount val="6"/>
                <c:pt idx="0">
                  <c:v>5</c:v>
                </c:pt>
                <c:pt idx="1">
                  <c:v>20.085958528389099</c:v>
                </c:pt>
                <c:pt idx="2">
                  <c:v>49.4833805252673</c:v>
                </c:pt>
                <c:pt idx="3">
                  <c:v>201.20344311700501</c:v>
                </c:pt>
                <c:pt idx="4">
                  <c:v>502.56146762984702</c:v>
                </c:pt>
                <c:pt idx="5">
                  <c:v>2001.61976723362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22-4629-BB87-EC4701749237}"/>
            </c:ext>
          </c:extLst>
        </c:ser>
        <c:ser>
          <c:idx val="2"/>
          <c:order val="2"/>
          <c:tx>
            <c:strRef>
              <c:f>Calibration!$D$1</c:f>
              <c:strCache>
                <c:ptCount val="1"/>
                <c:pt idx="0">
                  <c:v>Al 27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9572356087068"/>
                  <c:y val="-0.163386858586646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Calibration!$D$2:$D$7</c:f>
              <c:numCache>
                <c:formatCode>0.000</c:formatCode>
                <c:ptCount val="6"/>
                <c:pt idx="0">
                  <c:v>5</c:v>
                </c:pt>
                <c:pt idx="1">
                  <c:v>19.7946393842448</c:v>
                </c:pt>
                <c:pt idx="2">
                  <c:v>49.441097809690604</c:v>
                </c:pt>
                <c:pt idx="3">
                  <c:v>200.28018310665601</c:v>
                </c:pt>
                <c:pt idx="4">
                  <c:v>498.99482338759702</c:v>
                </c:pt>
                <c:pt idx="5">
                  <c:v>2003.0666662992601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22-4629-BB87-EC4701749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49199"/>
        <c:axId val="897460015"/>
      </c:scatterChart>
      <c:valAx>
        <c:axId val="89744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60015"/>
        <c:crosses val="autoZero"/>
        <c:crossBetween val="midCat"/>
      </c:valAx>
      <c:valAx>
        <c:axId val="897460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49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847492747617073E-2"/>
          <c:y val="0.8067432401241007"/>
          <c:w val="0.88720197883134089"/>
          <c:h val="0.17932169266505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Si, P, K</a:t>
            </a:r>
          </a:p>
        </c:rich>
      </c:tx>
      <c:layout>
        <c:manualLayout>
          <c:xMode val="edge"/>
          <c:yMode val="edge"/>
          <c:x val="0.20722969832068197"/>
          <c:y val="5.2179586706591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78391579729858E-2"/>
          <c:y val="0.16649572649572653"/>
          <c:w val="0.86266638526106976"/>
          <c:h val="0.54071548748714104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Calibration!$E$1</c:f>
              <c:strCache>
                <c:ptCount val="1"/>
                <c:pt idx="0">
                  <c:v>Si 28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829102315226722"/>
                  <c:y val="-0.21564535202330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Calibration!$E$2:$E$7</c:f>
              <c:numCache>
                <c:formatCode>0.000</c:formatCode>
                <c:ptCount val="6"/>
                <c:pt idx="0">
                  <c:v>25</c:v>
                </c:pt>
                <c:pt idx="1">
                  <c:v>102.323937228429</c:v>
                </c:pt>
                <c:pt idx="2">
                  <c:v>245.98479106638399</c:v>
                </c:pt>
                <c:pt idx="3">
                  <c:v>996.62857078448201</c:v>
                </c:pt>
                <c:pt idx="4">
                  <c:v>2475.0831731769999</c:v>
                </c:pt>
                <c:pt idx="5">
                  <c:v>9924.5410665754207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44-4B30-804D-C3E1E6AAC97C}"/>
            </c:ext>
          </c:extLst>
        </c:ser>
        <c:ser>
          <c:idx val="1"/>
          <c:order val="1"/>
          <c:tx>
            <c:strRef>
              <c:f>Calibration!$F$1</c:f>
              <c:strCache>
                <c:ptCount val="1"/>
                <c:pt idx="0">
                  <c:v>P 31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881188508614561"/>
                  <c:y val="-0.122539682539682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Calibration!$F$2:$F$7</c:f>
              <c:numCache>
                <c:formatCode>0.000</c:formatCode>
                <c:ptCount val="6"/>
                <c:pt idx="0">
                  <c:v>25</c:v>
                </c:pt>
                <c:pt idx="1">
                  <c:v>99.631190495764699</c:v>
                </c:pt>
                <c:pt idx="2">
                  <c:v>251.63757184623901</c:v>
                </c:pt>
                <c:pt idx="3">
                  <c:v>1004.20563149513</c:v>
                </c:pt>
                <c:pt idx="4">
                  <c:v>2480.2832681927698</c:v>
                </c:pt>
                <c:pt idx="5">
                  <c:v>9935.26340796351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44-4B30-804D-C3E1E6AAC97C}"/>
            </c:ext>
          </c:extLst>
        </c:ser>
        <c:ser>
          <c:idx val="2"/>
          <c:order val="2"/>
          <c:tx>
            <c:strRef>
              <c:f>Calibration!$G$1</c:f>
              <c:strCache>
                <c:ptCount val="1"/>
                <c:pt idx="0">
                  <c:v>K 39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3811910717702031E-2"/>
                  <c:y val="-0.166808379721765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Calibration!$AA$2:$AA$7</c:f>
              <c:numCache>
                <c:formatCode>General</c:formatCode>
                <c:ptCount val="6"/>
                <c:pt idx="0">
                  <c:v>25</c:v>
                </c:pt>
                <c:pt idx="1">
                  <c:v>100</c:v>
                </c:pt>
                <c:pt idx="2">
                  <c:v>250</c:v>
                </c:pt>
                <c:pt idx="3">
                  <c:v>1000</c:v>
                </c:pt>
                <c:pt idx="4">
                  <c:v>2500</c:v>
                </c:pt>
                <c:pt idx="5">
                  <c:v>10000</c:v>
                </c:pt>
              </c:numCache>
            </c:numRef>
          </c:xVal>
          <c:yVal>
            <c:numRef>
              <c:f>Calibration!$G$2:$G$7</c:f>
              <c:numCache>
                <c:formatCode>0.000</c:formatCode>
                <c:ptCount val="6"/>
                <c:pt idx="0">
                  <c:v>25</c:v>
                </c:pt>
                <c:pt idx="1">
                  <c:v>100.16284381394399</c:v>
                </c:pt>
                <c:pt idx="2">
                  <c:v>247.934301497012</c:v>
                </c:pt>
                <c:pt idx="3">
                  <c:v>999.27821873900405</c:v>
                </c:pt>
                <c:pt idx="4">
                  <c:v>2495.1371843882998</c:v>
                </c:pt>
                <c:pt idx="5">
                  <c:v>9972.44458187292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44-4B30-804D-C3E1E6AAC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000095"/>
        <c:axId val="815003007"/>
      </c:scatterChart>
      <c:valAx>
        <c:axId val="81500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03007"/>
        <c:crosses val="autoZero"/>
        <c:crossBetween val="midCat"/>
      </c:valAx>
      <c:valAx>
        <c:axId val="815003007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00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162559273454934E-2"/>
          <c:y val="0.78458423466297478"/>
          <c:w val="0.77185064553587479"/>
          <c:h val="0.20246645225684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Ca, Mn,</a:t>
            </a:r>
            <a:r>
              <a:rPr lang="en-US" baseline="0">
                <a:solidFill>
                  <a:sysClr val="windowText" lastClr="000000"/>
                </a:solidFill>
              </a:rPr>
              <a:t> and Fe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3.3558144413234903E-2"/>
          <c:y val="1.8106575867795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35288790655548E-2"/>
          <c:y val="0.15321426285128995"/>
          <c:w val="0.83713465641356233"/>
          <c:h val="0.5539676464744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Calibration!$H$1</c:f>
              <c:strCache>
                <c:ptCount val="1"/>
                <c:pt idx="0">
                  <c:v>Ca-43 43
Helium KED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6393284045601169"/>
                  <c:y val="-0.217643129932649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Calibration!$H$2:$H$7</c:f>
              <c:numCache>
                <c:formatCode>0.000</c:formatCode>
                <c:ptCount val="6"/>
                <c:pt idx="0">
                  <c:v>5</c:v>
                </c:pt>
                <c:pt idx="1">
                  <c:v>20.247384464611901</c:v>
                </c:pt>
                <c:pt idx="2">
                  <c:v>49.976905172785301</c:v>
                </c:pt>
                <c:pt idx="3">
                  <c:v>199.77720955891201</c:v>
                </c:pt>
                <c:pt idx="4">
                  <c:v>498.00308663899102</c:v>
                </c:pt>
                <c:pt idx="5">
                  <c:v>1996.83068163946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D6-4D26-9713-02BDC024E8C3}"/>
            </c:ext>
          </c:extLst>
        </c:ser>
        <c:ser>
          <c:idx val="1"/>
          <c:order val="1"/>
          <c:tx>
            <c:strRef>
              <c:f>Calibration!$I$1</c:f>
              <c:strCache>
                <c:ptCount val="1"/>
                <c:pt idx="0">
                  <c:v>Ca 43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86413816593536"/>
                  <c:y val="-0.20731463147048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Calibration!$I$2:$I$7</c:f>
              <c:numCache>
                <c:formatCode>0.000</c:formatCode>
                <c:ptCount val="6"/>
                <c:pt idx="0">
                  <c:v>5</c:v>
                </c:pt>
                <c:pt idx="1">
                  <c:v>19.925588254396299</c:v>
                </c:pt>
                <c:pt idx="2">
                  <c:v>50.772708913242099</c:v>
                </c:pt>
                <c:pt idx="3">
                  <c:v>199.46977398712301</c:v>
                </c:pt>
                <c:pt idx="4">
                  <c:v>496.64145010532297</c:v>
                </c:pt>
                <c:pt idx="5">
                  <c:v>1995.1763967090001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D6-4D26-9713-02BDC024E8C3}"/>
            </c:ext>
          </c:extLst>
        </c:ser>
        <c:ser>
          <c:idx val="2"/>
          <c:order val="2"/>
          <c:tx>
            <c:strRef>
              <c:f>Calibration!$K$1</c:f>
              <c:strCache>
                <c:ptCount val="1"/>
                <c:pt idx="0">
                  <c:v>Ca 44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58169541784377"/>
                  <c:y val="-0.21030226458431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Calibration!$K$2:$K$7</c:f>
              <c:numCache>
                <c:formatCode>0.000</c:formatCode>
                <c:ptCount val="6"/>
                <c:pt idx="0">
                  <c:v>5</c:v>
                </c:pt>
                <c:pt idx="1">
                  <c:v>19.922219584109101</c:v>
                </c:pt>
                <c:pt idx="2">
                  <c:v>50.612628849178897</c:v>
                </c:pt>
                <c:pt idx="3">
                  <c:v>200.32342623857201</c:v>
                </c:pt>
                <c:pt idx="4">
                  <c:v>497.64430877642599</c:v>
                </c:pt>
                <c:pt idx="5">
                  <c:v>2011.3280197251199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D6-4D26-9713-02BDC024E8C3}"/>
            </c:ext>
          </c:extLst>
        </c:ser>
        <c:ser>
          <c:idx val="3"/>
          <c:order val="3"/>
          <c:tx>
            <c:strRef>
              <c:f>Calibration!$L$1</c:f>
              <c:strCache>
                <c:ptCount val="1"/>
                <c:pt idx="0">
                  <c:v>Mn 55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647736971809821"/>
                  <c:y val="-0.18465903402857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Calibration!$L$2:$L$7</c:f>
              <c:numCache>
                <c:formatCode>0.000</c:formatCode>
                <c:ptCount val="6"/>
                <c:pt idx="0">
                  <c:v>5</c:v>
                </c:pt>
                <c:pt idx="1">
                  <c:v>20.093174984868799</c:v>
                </c:pt>
                <c:pt idx="2">
                  <c:v>49.320263085487099</c:v>
                </c:pt>
                <c:pt idx="3">
                  <c:v>200.998761351219</c:v>
                </c:pt>
                <c:pt idx="4">
                  <c:v>501.84487845579599</c:v>
                </c:pt>
                <c:pt idx="5">
                  <c:v>2005.1750896968799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ED6-4D26-9713-02BDC024E8C3}"/>
            </c:ext>
          </c:extLst>
        </c:ser>
        <c:ser>
          <c:idx val="4"/>
          <c:order val="4"/>
          <c:tx>
            <c:strRef>
              <c:f>Calibration!$M$1</c:f>
              <c:strCache>
                <c:ptCount val="1"/>
                <c:pt idx="0">
                  <c:v>Fe 57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9930179719901425"/>
                  <c:y val="-0.200326203639578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Calibration!$M$2:$M$7</c:f>
              <c:numCache>
                <c:formatCode>0.000</c:formatCode>
                <c:ptCount val="6"/>
                <c:pt idx="0">
                  <c:v>5</c:v>
                </c:pt>
                <c:pt idx="1">
                  <c:v>21.645219629216399</c:v>
                </c:pt>
                <c:pt idx="2">
                  <c:v>53.056129503237699</c:v>
                </c:pt>
                <c:pt idx="3">
                  <c:v>202.80334336819999</c:v>
                </c:pt>
                <c:pt idx="4">
                  <c:v>505.34059860587502</c:v>
                </c:pt>
                <c:pt idx="5">
                  <c:v>2012.0669126752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ED6-4D26-9713-02BDC024E8C3}"/>
            </c:ext>
          </c:extLst>
        </c:ser>
        <c:ser>
          <c:idx val="5"/>
          <c:order val="5"/>
          <c:tx>
            <c:strRef>
              <c:f>Calibration!$J$1</c:f>
              <c:strCache>
                <c:ptCount val="1"/>
                <c:pt idx="0">
                  <c:v>Ca-44 44
Helium KED
(ug/L)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584123740257658"/>
                  <c:y val="-0.178710720415142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Calibration!$J$2:$J$7</c:f>
              <c:numCache>
                <c:formatCode>0.000</c:formatCode>
                <c:ptCount val="6"/>
                <c:pt idx="0">
                  <c:v>5</c:v>
                </c:pt>
                <c:pt idx="1">
                  <c:v>20.136593272675398</c:v>
                </c:pt>
                <c:pt idx="2">
                  <c:v>49.9379620438609</c:v>
                </c:pt>
                <c:pt idx="3">
                  <c:v>200.103808092218</c:v>
                </c:pt>
                <c:pt idx="4">
                  <c:v>497.64489340579399</c:v>
                </c:pt>
                <c:pt idx="5">
                  <c:v>1994.7861933293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ED6-4D26-9713-02BDC024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97151"/>
        <c:axId val="891298399"/>
      </c:scatterChart>
      <c:valAx>
        <c:axId val="8912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8399"/>
        <c:crosses val="autoZero"/>
        <c:crossBetween val="midCat"/>
      </c:valAx>
      <c:valAx>
        <c:axId val="891298399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7151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2848920200764379E-2"/>
          <c:y val="0.78517270707015285"/>
          <c:w val="0.98715115863435354"/>
          <c:h val="0.20651250721784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Co, Ni,</a:t>
            </a:r>
            <a:r>
              <a:rPr lang="en-US" baseline="0">
                <a:solidFill>
                  <a:sysClr val="windowText" lastClr="000000"/>
                </a:solidFill>
              </a:rPr>
              <a:t> Cu, Zn</a:t>
            </a:r>
          </a:p>
        </c:rich>
      </c:tx>
      <c:layout>
        <c:manualLayout>
          <c:xMode val="edge"/>
          <c:yMode val="edge"/>
          <c:x val="4.3778923028095579E-2"/>
          <c:y val="1.48148148148148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868267666157838E-2"/>
          <c:y val="0.13881051175656986"/>
          <c:w val="0.87243691467549278"/>
          <c:h val="0.53019461456206862"/>
        </c:manualLayout>
      </c:layout>
      <c:scatterChart>
        <c:scatterStyle val="lineMarker"/>
        <c:varyColors val="0"/>
        <c:ser>
          <c:idx val="0"/>
          <c:order val="0"/>
          <c:tx>
            <c:strRef>
              <c:f>Calibration!$N$1</c:f>
              <c:strCache>
                <c:ptCount val="1"/>
                <c:pt idx="0">
                  <c:v>Co 59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367000670021811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Calibration!$N$2:$N$7</c:f>
              <c:numCache>
                <c:formatCode>0.000</c:formatCode>
                <c:ptCount val="6"/>
                <c:pt idx="0">
                  <c:v>5</c:v>
                </c:pt>
                <c:pt idx="1">
                  <c:v>19.836081232381002</c:v>
                </c:pt>
                <c:pt idx="2">
                  <c:v>50.621477664537402</c:v>
                </c:pt>
                <c:pt idx="3">
                  <c:v>200.37895985002501</c:v>
                </c:pt>
                <c:pt idx="4">
                  <c:v>494.64102410548497</c:v>
                </c:pt>
                <c:pt idx="5">
                  <c:v>1991.2860500689401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DF-4345-8C01-A7B9B1CF2185}"/>
            </c:ext>
          </c:extLst>
        </c:ser>
        <c:ser>
          <c:idx val="1"/>
          <c:order val="1"/>
          <c:tx>
            <c:strRef>
              <c:f>Calibration!$O$1</c:f>
              <c:strCache>
                <c:ptCount val="1"/>
                <c:pt idx="0">
                  <c:v>Ni 60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547422934897048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Calibration!$O$2:$O$7</c:f>
              <c:numCache>
                <c:formatCode>0.000</c:formatCode>
                <c:ptCount val="6"/>
                <c:pt idx="0">
                  <c:v>5</c:v>
                </c:pt>
                <c:pt idx="1">
                  <c:v>19.844824813201999</c:v>
                </c:pt>
                <c:pt idx="2">
                  <c:v>50.119764492361803</c:v>
                </c:pt>
                <c:pt idx="3">
                  <c:v>200.126091146482</c:v>
                </c:pt>
                <c:pt idx="4">
                  <c:v>497.99152575881101</c:v>
                </c:pt>
                <c:pt idx="5">
                  <c:v>1983.3989357551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DF-4345-8C01-A7B9B1CF2185}"/>
            </c:ext>
          </c:extLst>
        </c:ser>
        <c:ser>
          <c:idx val="2"/>
          <c:order val="2"/>
          <c:tx>
            <c:strRef>
              <c:f>Calibration!$P$1</c:f>
              <c:strCache>
                <c:ptCount val="1"/>
                <c:pt idx="0">
                  <c:v>Cu 63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239681412184321"/>
                  <c:y val="-0.1338722659667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Calibration!$P$2:$P$7</c:f>
              <c:numCache>
                <c:formatCode>0.000</c:formatCode>
                <c:ptCount val="6"/>
                <c:pt idx="0">
                  <c:v>5</c:v>
                </c:pt>
                <c:pt idx="1">
                  <c:v>20.093658566336298</c:v>
                </c:pt>
                <c:pt idx="2">
                  <c:v>49.676070285405601</c:v>
                </c:pt>
                <c:pt idx="3">
                  <c:v>201.782863034889</c:v>
                </c:pt>
                <c:pt idx="4">
                  <c:v>498.214562872329</c:v>
                </c:pt>
                <c:pt idx="5">
                  <c:v>1991.5981454611399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DF-4345-8C01-A7B9B1CF2185}"/>
            </c:ext>
          </c:extLst>
        </c:ser>
        <c:ser>
          <c:idx val="3"/>
          <c:order val="3"/>
          <c:tx>
            <c:strRef>
              <c:f>Calibration!$Q$1</c:f>
              <c:strCache>
                <c:ptCount val="1"/>
                <c:pt idx="0">
                  <c:v>Zn 68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3003057919103682E-2"/>
                  <c:y val="-0.138810537571692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Calibration!$Q$2:$Q$7</c:f>
              <c:numCache>
                <c:formatCode>0.000</c:formatCode>
                <c:ptCount val="6"/>
                <c:pt idx="0">
                  <c:v>5</c:v>
                </c:pt>
                <c:pt idx="1">
                  <c:v>20.049102927103402</c:v>
                </c:pt>
                <c:pt idx="2">
                  <c:v>48.0555932396313</c:v>
                </c:pt>
                <c:pt idx="3">
                  <c:v>200.06090135503101</c:v>
                </c:pt>
                <c:pt idx="4">
                  <c:v>499.271842458869</c:v>
                </c:pt>
                <c:pt idx="5">
                  <c:v>2000.9578409706701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DF-4345-8C01-A7B9B1CF2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71487"/>
        <c:axId val="888071903"/>
      </c:scatterChart>
      <c:valAx>
        <c:axId val="88807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71903"/>
        <c:crosses val="autoZero"/>
        <c:crossBetween val="midCat"/>
      </c:valAx>
      <c:valAx>
        <c:axId val="888071903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7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9626097601523411E-2"/>
          <c:y val="0.77609215514727325"/>
          <c:w val="0.82615745008841268"/>
          <c:h val="0.22041178186060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Se, Sr, Mo, Cd</a:t>
            </a:r>
          </a:p>
        </c:rich>
      </c:tx>
      <c:layout>
        <c:manualLayout>
          <c:xMode val="edge"/>
          <c:yMode val="edge"/>
          <c:x val="2.0930887480530444E-2"/>
          <c:y val="1.9900489716578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48685981768417E-2"/>
          <c:y val="0.15312977099236644"/>
          <c:w val="0.85793989590920883"/>
          <c:h val="0.45463685359940692"/>
        </c:manualLayout>
      </c:layout>
      <c:scatterChart>
        <c:scatterStyle val="lineMarker"/>
        <c:varyColors val="0"/>
        <c:ser>
          <c:idx val="3"/>
          <c:order val="0"/>
          <c:tx>
            <c:strRef>
              <c:f>Calibration!$R$1</c:f>
              <c:strCache>
                <c:ptCount val="1"/>
                <c:pt idx="0">
                  <c:v>Se 78
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8237529999190661"/>
                  <c:y val="-0.22553699794420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Calibration!$R$2:$R$7</c:f>
              <c:numCache>
                <c:formatCode>0.000</c:formatCode>
                <c:ptCount val="6"/>
                <c:pt idx="0">
                  <c:v>5</c:v>
                </c:pt>
                <c:pt idx="1">
                  <c:v>20.022698845733299</c:v>
                </c:pt>
                <c:pt idx="2">
                  <c:v>52.647773980363503</c:v>
                </c:pt>
                <c:pt idx="3">
                  <c:v>200.91120982822099</c:v>
                </c:pt>
                <c:pt idx="4">
                  <c:v>502.77072148238301</c:v>
                </c:pt>
                <c:pt idx="5">
                  <c:v>2016.8220392166099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D-4548-891C-E5D399DB8CE8}"/>
            </c:ext>
          </c:extLst>
        </c:ser>
        <c:ser>
          <c:idx val="4"/>
          <c:order val="1"/>
          <c:tx>
            <c:strRef>
              <c:f>Calibration!$S$1</c:f>
              <c:strCache>
                <c:ptCount val="1"/>
                <c:pt idx="0">
                  <c:v>Se 82
(mg/L)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27078471110764"/>
                  <c:y val="-0.21191787229790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Calibration!$S$2:$S$7</c:f>
              <c:numCache>
                <c:formatCode>0.000</c:formatCode>
                <c:ptCount val="6"/>
                <c:pt idx="0">
                  <c:v>5</c:v>
                </c:pt>
                <c:pt idx="1">
                  <c:v>19.793115433048801</c:v>
                </c:pt>
                <c:pt idx="2">
                  <c:v>50.561900019825799</c:v>
                </c:pt>
                <c:pt idx="3">
                  <c:v>199.679230714049</c:v>
                </c:pt>
                <c:pt idx="4">
                  <c:v>494.865921322811</c:v>
                </c:pt>
                <c:pt idx="5">
                  <c:v>1988.5526810783499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D-4548-891C-E5D399DB8CE8}"/>
            </c:ext>
          </c:extLst>
        </c:ser>
        <c:ser>
          <c:idx val="0"/>
          <c:order val="2"/>
          <c:tx>
            <c:strRef>
              <c:f>Calibration!$T$1</c:f>
              <c:strCache>
                <c:ptCount val="1"/>
                <c:pt idx="0">
                  <c:v>Sr 88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278835973592454"/>
                  <c:y val="-0.167768185955794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Calibration!$T$2:$T$7</c:f>
              <c:numCache>
                <c:formatCode>0.000</c:formatCode>
                <c:ptCount val="6"/>
                <c:pt idx="0">
                  <c:v>5</c:v>
                </c:pt>
                <c:pt idx="1">
                  <c:v>20.108741511251498</c:v>
                </c:pt>
                <c:pt idx="2">
                  <c:v>50.244572993481803</c:v>
                </c:pt>
                <c:pt idx="3">
                  <c:v>200.863557156019</c:v>
                </c:pt>
                <c:pt idx="4">
                  <c:v>499.26357633435401</c:v>
                </c:pt>
                <c:pt idx="5">
                  <c:v>1994.5184277839101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D-4548-891C-E5D399DB8CE8}"/>
            </c:ext>
          </c:extLst>
        </c:ser>
        <c:ser>
          <c:idx val="1"/>
          <c:order val="3"/>
          <c:tx>
            <c:strRef>
              <c:f>Calibration!$U$1</c:f>
              <c:strCache>
                <c:ptCount val="1"/>
                <c:pt idx="0">
                  <c:v>Mo 96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6.5593550401117874E-3"/>
                  <c:y val="-0.143253370952320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Calibration!$U$2:$U$7</c:f>
              <c:numCache>
                <c:formatCode>0.000</c:formatCode>
                <c:ptCount val="6"/>
                <c:pt idx="0">
                  <c:v>5</c:v>
                </c:pt>
                <c:pt idx="1">
                  <c:v>19.955309774352401</c:v>
                </c:pt>
                <c:pt idx="2">
                  <c:v>50.206482950003597</c:v>
                </c:pt>
                <c:pt idx="3">
                  <c:v>199.73367473386</c:v>
                </c:pt>
                <c:pt idx="4">
                  <c:v>512.13942423606102</c:v>
                </c:pt>
                <c:pt idx="5">
                  <c:v>2006.6944015819199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FBD-4548-891C-E5D399DB8CE8}"/>
            </c:ext>
          </c:extLst>
        </c:ser>
        <c:ser>
          <c:idx val="2"/>
          <c:order val="4"/>
          <c:tx>
            <c:strRef>
              <c:f>Calibration!$V$1</c:f>
              <c:strCache>
                <c:ptCount val="1"/>
                <c:pt idx="0">
                  <c:v>Cd 113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5439990882548"/>
                  <c:y val="-0.133376831582839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Calibration!$V$2:$V$7</c:f>
              <c:numCache>
                <c:formatCode>0.000</c:formatCode>
                <c:ptCount val="6"/>
                <c:pt idx="0">
                  <c:v>5</c:v>
                </c:pt>
                <c:pt idx="1">
                  <c:v>19.942565802814102</c:v>
                </c:pt>
                <c:pt idx="2">
                  <c:v>50.293736654043002</c:v>
                </c:pt>
                <c:pt idx="3">
                  <c:v>200.10363505342201</c:v>
                </c:pt>
                <c:pt idx="4">
                  <c:v>499.78175665976499</c:v>
                </c:pt>
                <c:pt idx="5">
                  <c:v>1987.06812894887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FBD-4548-891C-E5D399DB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792463"/>
        <c:axId val="949793711"/>
      </c:scatterChart>
      <c:valAx>
        <c:axId val="949792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93711"/>
        <c:crosses val="autoZero"/>
        <c:crossBetween val="midCat"/>
      </c:valAx>
      <c:valAx>
        <c:axId val="949793711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792463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126580403209194E-3"/>
          <c:y val="0.68664462743683752"/>
          <c:w val="0.99418742453747977"/>
          <c:h val="0.313355539877173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Pb</a:t>
            </a:r>
          </a:p>
        </c:rich>
      </c:tx>
      <c:layout>
        <c:manualLayout>
          <c:xMode val="edge"/>
          <c:yMode val="edge"/>
          <c:x val="3.9649460406355426E-2"/>
          <c:y val="2.9739776951672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Calibration!$W$1</c:f>
              <c:strCache>
                <c:ptCount val="1"/>
                <c:pt idx="0">
                  <c:v>Pb 206
(ug/L)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944335493452581"/>
                  <c:y val="-0.159058240396530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Calibration!$W$2:$W$7</c:f>
              <c:numCache>
                <c:formatCode>0.000</c:formatCode>
                <c:ptCount val="6"/>
                <c:pt idx="0">
                  <c:v>5</c:v>
                </c:pt>
                <c:pt idx="1">
                  <c:v>20.069591763137201</c:v>
                </c:pt>
                <c:pt idx="2">
                  <c:v>49.849676801839401</c:v>
                </c:pt>
                <c:pt idx="3">
                  <c:v>200.59326933727701</c:v>
                </c:pt>
                <c:pt idx="4">
                  <c:v>498.08779913965401</c:v>
                </c:pt>
                <c:pt idx="5">
                  <c:v>1983.2526078396399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81-481B-A356-CDC9BEDC9877}"/>
            </c:ext>
          </c:extLst>
        </c:ser>
        <c:ser>
          <c:idx val="0"/>
          <c:order val="1"/>
          <c:tx>
            <c:strRef>
              <c:f>Calibration!$X$1</c:f>
              <c:strCache>
                <c:ptCount val="1"/>
                <c:pt idx="0">
                  <c:v>Pb 207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058261065840564"/>
                  <c:y val="-0.15410161090458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Calibration!$X$2:$X$7</c:f>
              <c:numCache>
                <c:formatCode>0.000</c:formatCode>
                <c:ptCount val="6"/>
                <c:pt idx="0">
                  <c:v>5</c:v>
                </c:pt>
                <c:pt idx="1">
                  <c:v>20.075884665972801</c:v>
                </c:pt>
                <c:pt idx="2">
                  <c:v>49.5446503576254</c:v>
                </c:pt>
                <c:pt idx="3">
                  <c:v>200.70287452006201</c:v>
                </c:pt>
                <c:pt idx="4">
                  <c:v>499.51477496819399</c:v>
                </c:pt>
                <c:pt idx="5">
                  <c:v>1991.9955737467301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81-481B-A356-CDC9BEDC9877}"/>
            </c:ext>
          </c:extLst>
        </c:ser>
        <c:ser>
          <c:idx val="2"/>
          <c:order val="2"/>
          <c:tx>
            <c:strRef>
              <c:f>Calibration!$Y$1</c:f>
              <c:strCache>
                <c:ptCount val="1"/>
                <c:pt idx="0">
                  <c:v>Pb 208
(ug/L)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82183268835074"/>
                  <c:y val="-0.15410161090458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Calibration!$Z$2:$Z$7</c:f>
              <c:numCache>
                <c:formatCode>General</c:formatCode>
                <c:ptCount val="6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200</c:v>
                </c:pt>
                <c:pt idx="4">
                  <c:v>500</c:v>
                </c:pt>
                <c:pt idx="5">
                  <c:v>2000</c:v>
                </c:pt>
              </c:numCache>
            </c:numRef>
          </c:xVal>
          <c:yVal>
            <c:numRef>
              <c:f>Calibration!$Y$2:$Y$7</c:f>
              <c:numCache>
                <c:formatCode>0.000</c:formatCode>
                <c:ptCount val="6"/>
                <c:pt idx="0">
                  <c:v>5</c:v>
                </c:pt>
                <c:pt idx="1">
                  <c:v>19.943199141560299</c:v>
                </c:pt>
                <c:pt idx="2">
                  <c:v>50.392887345576497</c:v>
                </c:pt>
                <c:pt idx="3">
                  <c:v>199.607200361834</c:v>
                </c:pt>
                <c:pt idx="4">
                  <c:v>497.75989874153299</c:v>
                </c:pt>
                <c:pt idx="5">
                  <c:v>1993.47059188809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81-481B-A356-CDC9BEDC9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48367"/>
        <c:axId val="897456271"/>
      </c:scatterChart>
      <c:valAx>
        <c:axId val="8974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56271"/>
        <c:crosses val="autoZero"/>
        <c:crossBetween val="midCat"/>
      </c:valAx>
      <c:valAx>
        <c:axId val="897456271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48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98731243437043"/>
          <c:y val="0.75154719043019247"/>
          <c:w val="0.74420108572980082"/>
          <c:h val="0.21375640312618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9523</xdr:rowOff>
    </xdr:from>
    <xdr:to>
      <xdr:col>7</xdr:col>
      <xdr:colOff>600074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1362E-F7C9-4BE5-B300-27CD7C398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609599</xdr:colOff>
      <xdr:row>7</xdr:row>
      <xdr:rowOff>9525</xdr:rowOff>
    </xdr:from>
    <xdr:to>
      <xdr:col>17</xdr:col>
      <xdr:colOff>0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1E3E9E-3021-4134-B8A0-35E3B1F09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590549</xdr:colOff>
      <xdr:row>7</xdr:row>
      <xdr:rowOff>9524</xdr:rowOff>
    </xdr:from>
    <xdr:to>
      <xdr:col>28</xdr:col>
      <xdr:colOff>85724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9D9127-D135-4C8D-BF08-5E7F1A978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9525</xdr:rowOff>
    </xdr:from>
    <xdr:to>
      <xdr:col>7</xdr:col>
      <xdr:colOff>600075</xdr:colOff>
      <xdr:row>38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2057C-0130-4218-BAE6-69B784B59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4761</xdr:colOff>
      <xdr:row>23</xdr:row>
      <xdr:rowOff>9524</xdr:rowOff>
    </xdr:from>
    <xdr:to>
      <xdr:col>16</xdr:col>
      <xdr:colOff>581025</xdr:colOff>
      <xdr:row>38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690E7F-26CD-4238-A6AF-3946E0663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595312</xdr:colOff>
      <xdr:row>22</xdr:row>
      <xdr:rowOff>152400</xdr:rowOff>
    </xdr:from>
    <xdr:to>
      <xdr:col>28</xdr:col>
      <xdr:colOff>95250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CFA3E0-2342-48D3-B22C-D890BABB4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E31"/>
  <sheetViews>
    <sheetView zoomScale="90" zoomScaleNormal="90" workbookViewId="0">
      <selection activeCell="H27" activeCellId="2" sqref="H22:AE23 H25:AE25 H27:AE27"/>
    </sheetView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hidden="1" customWidth="1"/>
    <col min="4" max="4" width="21.42578125" hidden="1" customWidth="1"/>
    <col min="5" max="7" width="10.7109375" hidden="1" customWidth="1"/>
    <col min="8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40</v>
      </c>
      <c r="I1" s="1" t="s">
        <v>148</v>
      </c>
      <c r="J1" s="1" t="s">
        <v>2</v>
      </c>
      <c r="K1" s="1" t="s">
        <v>36</v>
      </c>
      <c r="L1" s="1" t="s">
        <v>10</v>
      </c>
      <c r="M1" s="1" t="s">
        <v>51</v>
      </c>
      <c r="N1" s="2" t="s">
        <v>125</v>
      </c>
      <c r="O1" s="1" t="s">
        <v>78</v>
      </c>
      <c r="P1" s="2" t="s">
        <v>18</v>
      </c>
      <c r="Q1" s="1" t="s">
        <v>79</v>
      </c>
      <c r="R1" s="1" t="s">
        <v>149</v>
      </c>
      <c r="S1" s="1" t="s">
        <v>140</v>
      </c>
      <c r="T1" s="1" t="s">
        <v>67</v>
      </c>
      <c r="U1" s="1" t="s">
        <v>14</v>
      </c>
      <c r="V1" s="1" t="s">
        <v>92</v>
      </c>
      <c r="W1" s="1" t="s">
        <v>162</v>
      </c>
      <c r="X1" s="1" t="s">
        <v>19</v>
      </c>
      <c r="Y1" s="1" t="s">
        <v>15</v>
      </c>
      <c r="Z1" s="1" t="s">
        <v>82</v>
      </c>
      <c r="AA1" s="1" t="s">
        <v>39</v>
      </c>
      <c r="AB1" s="1" t="s">
        <v>60</v>
      </c>
      <c r="AC1" s="1" t="s">
        <v>81</v>
      </c>
      <c r="AD1" s="1" t="s">
        <v>28</v>
      </c>
      <c r="AE1" s="1" t="s">
        <v>143</v>
      </c>
    </row>
    <row r="2" spans="1:31" x14ac:dyDescent="0.2">
      <c r="A2" s="3">
        <v>1</v>
      </c>
      <c r="B2" s="4" t="s">
        <v>16</v>
      </c>
      <c r="C2" s="5" t="s">
        <v>132</v>
      </c>
      <c r="D2" s="4" t="s">
        <v>6</v>
      </c>
      <c r="E2" s="4" t="s">
        <v>132</v>
      </c>
      <c r="F2" s="4" t="s">
        <v>22</v>
      </c>
      <c r="G2" s="4" t="s">
        <v>118</v>
      </c>
      <c r="H2" s="23"/>
      <c r="I2" s="21">
        <v>-0.20662641893435699</v>
      </c>
      <c r="J2" s="21">
        <v>-0.46283090146669098</v>
      </c>
      <c r="K2" s="23"/>
      <c r="L2" s="23"/>
      <c r="M2" s="23"/>
      <c r="N2" s="23"/>
      <c r="O2" s="23"/>
      <c r="P2" s="23"/>
      <c r="Q2" s="23"/>
      <c r="R2" s="21">
        <v>-5.6209181248033001E-2</v>
      </c>
      <c r="S2" s="23"/>
      <c r="T2" s="21">
        <v>-4.1684253821743802E-2</v>
      </c>
      <c r="U2" s="21">
        <v>-5.6416706071354898</v>
      </c>
      <c r="V2" s="21">
        <v>-3.1156999920578701E-2</v>
      </c>
      <c r="W2" s="23"/>
      <c r="X2" s="23"/>
      <c r="Y2" s="23"/>
      <c r="Z2" s="23"/>
      <c r="AA2" s="23"/>
      <c r="AB2" s="23"/>
      <c r="AC2" s="23"/>
      <c r="AD2" s="23"/>
      <c r="AE2" s="21">
        <v>-1.49110717839098E-2</v>
      </c>
    </row>
    <row r="3" spans="1:31" x14ac:dyDescent="0.2">
      <c r="A3" s="3">
        <v>2</v>
      </c>
      <c r="B3" s="7" t="s">
        <v>16</v>
      </c>
      <c r="C3" s="8" t="s">
        <v>132</v>
      </c>
      <c r="D3" s="7" t="s">
        <v>85</v>
      </c>
      <c r="E3" s="7" t="s">
        <v>132</v>
      </c>
      <c r="F3" s="7" t="s">
        <v>32</v>
      </c>
      <c r="G3" s="7" t="s">
        <v>118</v>
      </c>
      <c r="H3" s="12"/>
      <c r="I3" s="22">
        <v>-0.20386444569676901</v>
      </c>
      <c r="J3" s="22">
        <v>-0.48994147130610399</v>
      </c>
      <c r="K3" s="12"/>
      <c r="L3" s="12"/>
      <c r="M3" s="12"/>
      <c r="N3" s="12"/>
      <c r="O3" s="12"/>
      <c r="P3" s="12"/>
      <c r="Q3" s="12"/>
      <c r="R3" s="22">
        <v>-5.6055410022285597E-2</v>
      </c>
      <c r="S3" s="12"/>
      <c r="T3" s="22">
        <v>-4.1699306802151101E-2</v>
      </c>
      <c r="U3" s="22">
        <v>-5.6421784547435898</v>
      </c>
      <c r="V3" s="22">
        <v>-3.19073616436489E-2</v>
      </c>
      <c r="W3" s="12"/>
      <c r="X3" s="12"/>
      <c r="Y3" s="12"/>
      <c r="Z3" s="12"/>
      <c r="AA3" s="12"/>
      <c r="AB3" s="12"/>
      <c r="AC3" s="12"/>
      <c r="AD3" s="12"/>
      <c r="AE3" s="22">
        <v>-1.6257257393770201E-2</v>
      </c>
    </row>
    <row r="4" spans="1:31" x14ac:dyDescent="0.2">
      <c r="A4" s="3">
        <v>3</v>
      </c>
      <c r="B4" s="4" t="s">
        <v>16</v>
      </c>
      <c r="C4" s="5" t="s">
        <v>132</v>
      </c>
      <c r="D4" s="4" t="s">
        <v>5</v>
      </c>
      <c r="E4" s="4" t="s">
        <v>132</v>
      </c>
      <c r="F4" s="4" t="s">
        <v>77</v>
      </c>
      <c r="G4" s="4" t="s">
        <v>118</v>
      </c>
      <c r="H4" s="23"/>
      <c r="I4" s="21">
        <v>-0.20852526004475</v>
      </c>
      <c r="J4" s="21">
        <v>-0.48662457284321797</v>
      </c>
      <c r="K4" s="23"/>
      <c r="L4" s="23"/>
      <c r="M4" s="23"/>
      <c r="N4" s="23"/>
      <c r="O4" s="23"/>
      <c r="P4" s="23"/>
      <c r="Q4" s="23"/>
      <c r="R4" s="21">
        <v>-5.6912120040045699E-2</v>
      </c>
      <c r="S4" s="23"/>
      <c r="T4" s="21">
        <v>-4.1368141368062203E-2</v>
      </c>
      <c r="U4" s="21">
        <v>-5.6464588775270199</v>
      </c>
      <c r="V4" s="21">
        <v>-2.9819398101208199E-2</v>
      </c>
      <c r="W4" s="23"/>
      <c r="X4" s="23"/>
      <c r="Y4" s="23"/>
      <c r="Z4" s="23"/>
      <c r="AA4" s="23"/>
      <c r="AB4" s="23"/>
      <c r="AC4" s="23"/>
      <c r="AD4" s="23"/>
      <c r="AE4" s="21">
        <v>-1.61627884275455E-2</v>
      </c>
    </row>
    <row r="5" spans="1:31" x14ac:dyDescent="0.2">
      <c r="A5" s="3">
        <v>4</v>
      </c>
      <c r="B5" s="7" t="s">
        <v>16</v>
      </c>
      <c r="C5" s="8" t="s">
        <v>132</v>
      </c>
      <c r="D5" s="7" t="s">
        <v>87</v>
      </c>
      <c r="E5" s="7" t="s">
        <v>132</v>
      </c>
      <c r="F5" s="7" t="s">
        <v>111</v>
      </c>
      <c r="G5" s="7" t="s">
        <v>118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2">
      <c r="A6" s="3">
        <v>5</v>
      </c>
      <c r="B6" s="4" t="s">
        <v>37</v>
      </c>
      <c r="C6" s="5" t="s">
        <v>132</v>
      </c>
      <c r="D6" s="4" t="s">
        <v>136</v>
      </c>
      <c r="E6" s="4" t="s">
        <v>132</v>
      </c>
      <c r="F6" s="4" t="s">
        <v>89</v>
      </c>
      <c r="G6" s="4" t="s">
        <v>118</v>
      </c>
      <c r="H6" s="21">
        <v>5</v>
      </c>
      <c r="I6" s="21">
        <v>5</v>
      </c>
      <c r="J6" s="21">
        <v>5</v>
      </c>
      <c r="K6" s="21">
        <v>25</v>
      </c>
      <c r="L6" s="21">
        <v>25</v>
      </c>
      <c r="M6" s="21">
        <v>25</v>
      </c>
      <c r="N6" s="21">
        <v>5</v>
      </c>
      <c r="O6" s="21">
        <v>5</v>
      </c>
      <c r="P6" s="21">
        <v>5</v>
      </c>
      <c r="Q6" s="21">
        <v>5</v>
      </c>
      <c r="R6" s="21">
        <v>5</v>
      </c>
      <c r="S6" s="21">
        <v>5</v>
      </c>
      <c r="T6" s="21">
        <v>5</v>
      </c>
      <c r="U6" s="21">
        <v>5</v>
      </c>
      <c r="V6" s="21">
        <v>5</v>
      </c>
      <c r="W6" s="21">
        <v>5</v>
      </c>
      <c r="X6" s="21">
        <v>5</v>
      </c>
      <c r="Y6" s="21">
        <v>5</v>
      </c>
      <c r="Z6" s="21">
        <v>5</v>
      </c>
      <c r="AA6" s="21">
        <v>5</v>
      </c>
      <c r="AB6" s="21">
        <v>5</v>
      </c>
      <c r="AC6" s="21">
        <v>5</v>
      </c>
      <c r="AD6" s="21">
        <v>5</v>
      </c>
      <c r="AE6" s="21">
        <v>5</v>
      </c>
    </row>
    <row r="7" spans="1:31" x14ac:dyDescent="0.2">
      <c r="A7" s="3">
        <v>6</v>
      </c>
      <c r="B7" s="7" t="s">
        <v>52</v>
      </c>
      <c r="C7" s="8" t="s">
        <v>132</v>
      </c>
      <c r="D7" s="7" t="s">
        <v>86</v>
      </c>
      <c r="E7" s="7" t="s">
        <v>132</v>
      </c>
      <c r="F7" s="7" t="s">
        <v>113</v>
      </c>
      <c r="G7" s="7" t="s">
        <v>118</v>
      </c>
      <c r="H7" s="22">
        <v>19.694258083558001</v>
      </c>
      <c r="I7" s="22">
        <v>20.085958528389099</v>
      </c>
      <c r="J7" s="22">
        <v>19.7946393842448</v>
      </c>
      <c r="K7" s="22">
        <v>102.323937228429</v>
      </c>
      <c r="L7" s="22">
        <v>99.631190495764699</v>
      </c>
      <c r="M7" s="22">
        <v>100.16284381394399</v>
      </c>
      <c r="N7" s="22">
        <v>20.247384464611901</v>
      </c>
      <c r="O7" s="22">
        <v>19.925588254396299</v>
      </c>
      <c r="P7" s="22">
        <v>20.136593272675398</v>
      </c>
      <c r="Q7" s="22">
        <v>19.922219584109101</v>
      </c>
      <c r="R7" s="22">
        <v>20.093174984868799</v>
      </c>
      <c r="S7" s="22">
        <v>21.645219629216399</v>
      </c>
      <c r="T7" s="22">
        <v>19.836081232381002</v>
      </c>
      <c r="U7" s="22">
        <v>19.844824813201999</v>
      </c>
      <c r="V7" s="22">
        <v>20.093658566336298</v>
      </c>
      <c r="W7" s="22">
        <v>20.049102927103402</v>
      </c>
      <c r="X7" s="22">
        <v>20.022698845733299</v>
      </c>
      <c r="Y7" s="22">
        <v>19.793115433048801</v>
      </c>
      <c r="Z7" s="22">
        <v>20.108741511251498</v>
      </c>
      <c r="AA7" s="22">
        <v>19.955309774352401</v>
      </c>
      <c r="AB7" s="22">
        <v>19.942565802814102</v>
      </c>
      <c r="AC7" s="22">
        <v>20.069591763137201</v>
      </c>
      <c r="AD7" s="22">
        <v>20.075884665972801</v>
      </c>
      <c r="AE7" s="22">
        <v>19.943199141560299</v>
      </c>
    </row>
    <row r="8" spans="1:31" x14ac:dyDescent="0.2">
      <c r="A8" s="3">
        <v>7</v>
      </c>
      <c r="B8" s="4" t="s">
        <v>41</v>
      </c>
      <c r="C8" s="5" t="s">
        <v>132</v>
      </c>
      <c r="D8" s="4" t="s">
        <v>116</v>
      </c>
      <c r="E8" s="4" t="s">
        <v>132</v>
      </c>
      <c r="F8" s="4" t="s">
        <v>144</v>
      </c>
      <c r="G8" s="4" t="s">
        <v>118</v>
      </c>
      <c r="H8" s="21">
        <v>49.992265141743999</v>
      </c>
      <c r="I8" s="21">
        <v>49.4833805252673</v>
      </c>
      <c r="J8" s="21">
        <v>49.441097809690604</v>
      </c>
      <c r="K8" s="21">
        <v>245.98479106638399</v>
      </c>
      <c r="L8" s="21">
        <v>251.63757184623901</v>
      </c>
      <c r="M8" s="21">
        <v>247.934301497012</v>
      </c>
      <c r="N8" s="21">
        <v>49.976905172785301</v>
      </c>
      <c r="O8" s="21">
        <v>50.772708913242099</v>
      </c>
      <c r="P8" s="21">
        <v>49.9379620438609</v>
      </c>
      <c r="Q8" s="21">
        <v>50.612628849178897</v>
      </c>
      <c r="R8" s="21">
        <v>49.320263085487099</v>
      </c>
      <c r="S8" s="21">
        <v>53.056129503237699</v>
      </c>
      <c r="T8" s="21">
        <v>50.621477664537402</v>
      </c>
      <c r="U8" s="21">
        <v>50.119764492361803</v>
      </c>
      <c r="V8" s="21">
        <v>49.676070285405601</v>
      </c>
      <c r="W8" s="21">
        <v>48.0555932396313</v>
      </c>
      <c r="X8" s="21">
        <v>52.647773980363503</v>
      </c>
      <c r="Y8" s="21">
        <v>50.561900019825799</v>
      </c>
      <c r="Z8" s="21">
        <v>50.244572993481803</v>
      </c>
      <c r="AA8" s="21">
        <v>50.206482950003597</v>
      </c>
      <c r="AB8" s="21">
        <v>50.293736654043002</v>
      </c>
      <c r="AC8" s="21">
        <v>49.849676801839401</v>
      </c>
      <c r="AD8" s="21">
        <v>49.5446503576254</v>
      </c>
      <c r="AE8" s="21">
        <v>50.392887345576497</v>
      </c>
    </row>
    <row r="9" spans="1:31" x14ac:dyDescent="0.2">
      <c r="A9" s="3">
        <v>8</v>
      </c>
      <c r="B9" s="7" t="s">
        <v>105</v>
      </c>
      <c r="C9" s="8" t="s">
        <v>132</v>
      </c>
      <c r="D9" s="7" t="s">
        <v>157</v>
      </c>
      <c r="E9" s="7" t="s">
        <v>132</v>
      </c>
      <c r="F9" s="7" t="s">
        <v>90</v>
      </c>
      <c r="G9" s="7" t="s">
        <v>118</v>
      </c>
      <c r="H9" s="22">
        <v>200.27006382619001</v>
      </c>
      <c r="I9" s="22">
        <v>201.20344311700501</v>
      </c>
      <c r="J9" s="22">
        <v>200.28018310665601</v>
      </c>
      <c r="K9" s="22">
        <v>996.62857078448201</v>
      </c>
      <c r="L9" s="22">
        <v>1004.20563149513</v>
      </c>
      <c r="M9" s="22">
        <v>999.27821873900405</v>
      </c>
      <c r="N9" s="22">
        <v>199.77720955891201</v>
      </c>
      <c r="O9" s="22">
        <v>199.46977398712301</v>
      </c>
      <c r="P9" s="22">
        <v>200.103808092218</v>
      </c>
      <c r="Q9" s="22">
        <v>200.32342623857201</v>
      </c>
      <c r="R9" s="22">
        <v>200.998761351219</v>
      </c>
      <c r="S9" s="22">
        <v>202.80334336819999</v>
      </c>
      <c r="T9" s="22">
        <v>200.37895985002501</v>
      </c>
      <c r="U9" s="22">
        <v>200.126091146482</v>
      </c>
      <c r="V9" s="22">
        <v>201.782863034889</v>
      </c>
      <c r="W9" s="22">
        <v>200.06090135503101</v>
      </c>
      <c r="X9" s="22">
        <v>200.91120982822099</v>
      </c>
      <c r="Y9" s="22">
        <v>199.679230714049</v>
      </c>
      <c r="Z9" s="22">
        <v>200.863557156019</v>
      </c>
      <c r="AA9" s="22">
        <v>199.73367473386</v>
      </c>
      <c r="AB9" s="22">
        <v>200.10363505342201</v>
      </c>
      <c r="AC9" s="22">
        <v>200.59326933727701</v>
      </c>
      <c r="AD9" s="22">
        <v>200.70287452006201</v>
      </c>
      <c r="AE9" s="22">
        <v>199.607200361834</v>
      </c>
    </row>
    <row r="10" spans="1:31" x14ac:dyDescent="0.2">
      <c r="A10" s="3">
        <v>9</v>
      </c>
      <c r="B10" s="4" t="s">
        <v>3</v>
      </c>
      <c r="C10" s="5" t="s">
        <v>132</v>
      </c>
      <c r="D10" s="4" t="s">
        <v>72</v>
      </c>
      <c r="E10" s="4" t="s">
        <v>132</v>
      </c>
      <c r="F10" s="4" t="s">
        <v>109</v>
      </c>
      <c r="G10" s="4" t="s">
        <v>118</v>
      </c>
      <c r="H10" s="21">
        <v>499.08309498343698</v>
      </c>
      <c r="I10" s="21">
        <v>502.56146762984702</v>
      </c>
      <c r="J10" s="21">
        <v>498.99482338759702</v>
      </c>
      <c r="K10" s="21">
        <v>2475.0831731769999</v>
      </c>
      <c r="L10" s="21">
        <v>2480.2832681927698</v>
      </c>
      <c r="M10" s="21">
        <v>2495.1371843882998</v>
      </c>
      <c r="N10" s="21">
        <v>498.00308663899102</v>
      </c>
      <c r="O10" s="21">
        <v>496.64145010532297</v>
      </c>
      <c r="P10" s="21">
        <v>497.64489340579399</v>
      </c>
      <c r="Q10" s="21">
        <v>497.64430877642599</v>
      </c>
      <c r="R10" s="21">
        <v>501.84487845579599</v>
      </c>
      <c r="S10" s="21">
        <v>505.34059860587502</v>
      </c>
      <c r="T10" s="21">
        <v>494.64102410548497</v>
      </c>
      <c r="U10" s="21">
        <v>497.99152575881101</v>
      </c>
      <c r="V10" s="21">
        <v>498.214562872329</v>
      </c>
      <c r="W10" s="21">
        <v>499.271842458869</v>
      </c>
      <c r="X10" s="21">
        <v>502.77072148238301</v>
      </c>
      <c r="Y10" s="21">
        <v>494.865921322811</v>
      </c>
      <c r="Z10" s="21">
        <v>499.26357633435401</v>
      </c>
      <c r="AA10" s="21">
        <v>512.13942423606102</v>
      </c>
      <c r="AB10" s="21">
        <v>499.78175665976499</v>
      </c>
      <c r="AC10" s="21">
        <v>498.08779913965401</v>
      </c>
      <c r="AD10" s="21">
        <v>499.51477496819399</v>
      </c>
      <c r="AE10" s="21">
        <v>497.75989874153299</v>
      </c>
    </row>
    <row r="11" spans="1:31" x14ac:dyDescent="0.2">
      <c r="A11" s="3">
        <v>10</v>
      </c>
      <c r="B11" s="7" t="s">
        <v>88</v>
      </c>
      <c r="C11" s="8" t="s">
        <v>132</v>
      </c>
      <c r="D11" s="7" t="s">
        <v>4</v>
      </c>
      <c r="E11" s="7" t="s">
        <v>132</v>
      </c>
      <c r="F11" s="7" t="s">
        <v>29</v>
      </c>
      <c r="G11" s="7" t="s">
        <v>118</v>
      </c>
      <c r="H11" s="22">
        <v>1991.7794759138701</v>
      </c>
      <c r="I11" s="22">
        <v>2001.61976723362</v>
      </c>
      <c r="J11" s="22">
        <v>2003.0666662992601</v>
      </c>
      <c r="K11" s="22">
        <v>9924.5410665754207</v>
      </c>
      <c r="L11" s="22">
        <v>9935.26340796351</v>
      </c>
      <c r="M11" s="22">
        <v>9972.44458187292</v>
      </c>
      <c r="N11" s="22">
        <v>1996.83068163946</v>
      </c>
      <c r="O11" s="22">
        <v>1995.1763967090001</v>
      </c>
      <c r="P11" s="22">
        <v>1994.7861933293</v>
      </c>
      <c r="Q11" s="22">
        <v>2011.3280197251199</v>
      </c>
      <c r="R11" s="22">
        <v>2005.1750896968799</v>
      </c>
      <c r="S11" s="22">
        <v>2012.0669126752</v>
      </c>
      <c r="T11" s="22">
        <v>1991.2860500689401</v>
      </c>
      <c r="U11" s="22">
        <v>1983.3989357551</v>
      </c>
      <c r="V11" s="22">
        <v>1991.5981454611399</v>
      </c>
      <c r="W11" s="22">
        <v>2000.9578409706701</v>
      </c>
      <c r="X11" s="22">
        <v>2016.8220392166099</v>
      </c>
      <c r="Y11" s="22">
        <v>1988.5526810783499</v>
      </c>
      <c r="Z11" s="22">
        <v>1994.5184277839101</v>
      </c>
      <c r="AA11" s="22">
        <v>2006.6944015819199</v>
      </c>
      <c r="AB11" s="22">
        <v>1987.06812894887</v>
      </c>
      <c r="AC11" s="22">
        <v>1983.2526078396399</v>
      </c>
      <c r="AD11" s="22">
        <v>1991.9955737467301</v>
      </c>
      <c r="AE11" s="22">
        <v>1993.47059188809</v>
      </c>
    </row>
    <row r="12" spans="1:31" x14ac:dyDescent="0.2">
      <c r="A12" s="3">
        <v>11</v>
      </c>
      <c r="B12" s="10" t="s">
        <v>83</v>
      </c>
      <c r="C12" s="3" t="s">
        <v>132</v>
      </c>
      <c r="D12" s="10" t="s">
        <v>4</v>
      </c>
      <c r="E12" s="10" t="s">
        <v>132</v>
      </c>
      <c r="F12" s="10" t="s">
        <v>132</v>
      </c>
      <c r="G12" s="10" t="s">
        <v>132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56</v>
      </c>
      <c r="C13" s="8" t="s">
        <v>132</v>
      </c>
      <c r="D13" s="7" t="s">
        <v>104</v>
      </c>
      <c r="E13" s="7" t="s">
        <v>132</v>
      </c>
      <c r="F13" s="7" t="s">
        <v>147</v>
      </c>
      <c r="G13" s="7" t="s">
        <v>118</v>
      </c>
      <c r="H13" s="22">
        <v>6.67632348385761</v>
      </c>
      <c r="I13" s="22">
        <v>6.41102946539048</v>
      </c>
      <c r="J13" s="22">
        <v>6.9431558738413504</v>
      </c>
      <c r="K13" s="22">
        <v>-53.285662067744099</v>
      </c>
      <c r="L13" s="22">
        <v>38.190347558555302</v>
      </c>
      <c r="M13" s="22">
        <v>38.911372973571901</v>
      </c>
      <c r="N13" s="22">
        <v>13.011251514825799</v>
      </c>
      <c r="O13" s="22">
        <v>9.9442300275878406</v>
      </c>
      <c r="P13" s="22">
        <v>11.322637097230301</v>
      </c>
      <c r="Q13" s="22">
        <v>5.6041243263491101</v>
      </c>
      <c r="R13" s="22">
        <v>6.3079170329861904</v>
      </c>
      <c r="S13" s="22">
        <v>-9.1498039947846603</v>
      </c>
      <c r="T13" s="22">
        <v>8.1463688400774199</v>
      </c>
      <c r="U13" s="22">
        <v>9.0241694499005707</v>
      </c>
      <c r="V13" s="22">
        <v>6.8710044047944896</v>
      </c>
      <c r="W13" s="22">
        <v>6.3167592472045602</v>
      </c>
      <c r="X13" s="22">
        <v>2.0474282529894801</v>
      </c>
      <c r="Y13" s="22">
        <v>9.2261331819771595</v>
      </c>
      <c r="Z13" s="22">
        <v>6.33062112079228</v>
      </c>
      <c r="AA13" s="22">
        <v>12.448948497741601</v>
      </c>
      <c r="AB13" s="22">
        <v>7.6782240070854302</v>
      </c>
      <c r="AC13" s="22">
        <v>7.9703989165970697</v>
      </c>
      <c r="AD13" s="22">
        <v>7.7779967295996402</v>
      </c>
      <c r="AE13" s="22">
        <v>8.3790682248809194</v>
      </c>
    </row>
    <row r="14" spans="1:31" x14ac:dyDescent="0.2">
      <c r="A14" s="3">
        <v>13</v>
      </c>
      <c r="B14" s="4" t="s">
        <v>76</v>
      </c>
      <c r="C14" s="5" t="s">
        <v>132</v>
      </c>
      <c r="D14" s="4" t="s">
        <v>48</v>
      </c>
      <c r="E14" s="4" t="s">
        <v>132</v>
      </c>
      <c r="F14" s="4" t="s">
        <v>53</v>
      </c>
      <c r="G14" s="4" t="s">
        <v>118</v>
      </c>
      <c r="H14" s="21">
        <v>-1.58552156066133</v>
      </c>
      <c r="I14" s="21">
        <v>0.158084601645678</v>
      </c>
      <c r="J14" s="21">
        <v>-0.17511653531472099</v>
      </c>
      <c r="K14" s="21">
        <v>-29.3714323257628</v>
      </c>
      <c r="L14" s="21">
        <v>5.3530162293315504</v>
      </c>
      <c r="M14" s="21">
        <v>7.1691192967228599</v>
      </c>
      <c r="N14" s="21">
        <v>-1.4295569642419801</v>
      </c>
      <c r="O14" s="21">
        <v>-2.4514846016089402</v>
      </c>
      <c r="P14" s="21">
        <v>-2.75625343203791</v>
      </c>
      <c r="Q14" s="21">
        <v>-3.1035613687424899</v>
      </c>
      <c r="R14" s="21">
        <v>0.363087448126521</v>
      </c>
      <c r="S14" s="21">
        <v>-13.6658436574678</v>
      </c>
      <c r="T14" s="21">
        <v>0.40087105976399801</v>
      </c>
      <c r="U14" s="21">
        <v>-6.3785303191574299</v>
      </c>
      <c r="V14" s="21">
        <v>0.39544464964738402</v>
      </c>
      <c r="W14" s="21">
        <v>-0.48942661138482901</v>
      </c>
      <c r="X14" s="21">
        <v>-2.6579334252983302</v>
      </c>
      <c r="Y14" s="21">
        <v>0.40088644833173098</v>
      </c>
      <c r="Z14" s="21">
        <v>0.362193149223273</v>
      </c>
      <c r="AA14" s="21">
        <v>2.81735458421144</v>
      </c>
      <c r="AB14" s="21">
        <v>0.39591891415299701</v>
      </c>
      <c r="AC14" s="21">
        <v>0.49419011753156</v>
      </c>
      <c r="AD14" s="21">
        <v>0.50601369048216605</v>
      </c>
      <c r="AE14" s="21">
        <v>0.52623020903454398</v>
      </c>
    </row>
    <row r="15" spans="1:31" x14ac:dyDescent="0.2">
      <c r="A15" s="3">
        <v>14</v>
      </c>
      <c r="B15" s="7" t="s">
        <v>130</v>
      </c>
      <c r="C15" s="8" t="s">
        <v>132</v>
      </c>
      <c r="D15" s="7" t="s">
        <v>153</v>
      </c>
      <c r="E15" s="7" t="s">
        <v>132</v>
      </c>
      <c r="F15" s="7" t="s">
        <v>73</v>
      </c>
      <c r="G15" s="7" t="s">
        <v>118</v>
      </c>
      <c r="H15" s="22">
        <v>201.35120703640101</v>
      </c>
      <c r="I15" s="22">
        <v>208.49196207403301</v>
      </c>
      <c r="J15" s="22">
        <v>219.76826112736501</v>
      </c>
      <c r="K15" s="22">
        <v>516.66798508640704</v>
      </c>
      <c r="L15" s="22">
        <v>998.59336696037803</v>
      </c>
      <c r="M15" s="22">
        <v>984.99681730806401</v>
      </c>
      <c r="N15" s="22">
        <v>201.779463933562</v>
      </c>
      <c r="O15" s="22">
        <v>209.19940839157499</v>
      </c>
      <c r="P15" s="22">
        <v>202.53148402337601</v>
      </c>
      <c r="Q15" s="22">
        <v>170.2605013873</v>
      </c>
      <c r="R15" s="22">
        <v>204.285606610201</v>
      </c>
      <c r="S15" s="22">
        <v>207.22879666882699</v>
      </c>
      <c r="T15" s="22">
        <v>214.34705239845201</v>
      </c>
      <c r="U15" s="22">
        <v>194.42847016575101</v>
      </c>
      <c r="V15" s="22">
        <v>197.43386090166101</v>
      </c>
      <c r="W15" s="22">
        <v>207.84841558634699</v>
      </c>
      <c r="X15" s="22">
        <v>202.661182833342</v>
      </c>
      <c r="Y15" s="22">
        <v>221.24602774521099</v>
      </c>
      <c r="Z15" s="22">
        <v>199.42728118070499</v>
      </c>
      <c r="AA15" s="22">
        <v>188.64447988505901</v>
      </c>
      <c r="AB15" s="22">
        <v>206.46933154195099</v>
      </c>
      <c r="AC15" s="22">
        <v>219.71606318642799</v>
      </c>
      <c r="AD15" s="22">
        <v>223.883221879589</v>
      </c>
      <c r="AE15" s="22">
        <v>233.930456546378</v>
      </c>
    </row>
    <row r="16" spans="1:31" x14ac:dyDescent="0.2">
      <c r="A16" s="3">
        <v>15</v>
      </c>
      <c r="B16" s="4" t="s">
        <v>13</v>
      </c>
      <c r="C16" s="5" t="s">
        <v>132</v>
      </c>
      <c r="D16" s="4" t="s">
        <v>54</v>
      </c>
      <c r="E16" s="4" t="s">
        <v>132</v>
      </c>
      <c r="F16" s="4" t="s">
        <v>103</v>
      </c>
      <c r="G16" s="4" t="s">
        <v>118</v>
      </c>
      <c r="H16" s="21">
        <v>0.72817532793739603</v>
      </c>
      <c r="I16" s="21">
        <v>0.64600250885750099</v>
      </c>
      <c r="J16" s="21">
        <v>0.66266984523940298</v>
      </c>
      <c r="K16" s="21">
        <v>-92.271239171231599</v>
      </c>
      <c r="L16" s="21">
        <v>4.7131405723470499</v>
      </c>
      <c r="M16" s="21">
        <v>8.8321426801833791</v>
      </c>
      <c r="N16" s="21">
        <v>0.91160427558778501</v>
      </c>
      <c r="O16" s="21">
        <v>-0.109083437891057</v>
      </c>
      <c r="P16" s="21">
        <v>0.49525970064054697</v>
      </c>
      <c r="Q16" s="21">
        <v>-1.0953176916893499</v>
      </c>
      <c r="R16" s="21">
        <v>0.679084841692699</v>
      </c>
      <c r="S16" s="21">
        <v>-12.8851159355367</v>
      </c>
      <c r="T16" s="21">
        <v>0.90040427358274699</v>
      </c>
      <c r="U16" s="21">
        <v>1.44917319091505</v>
      </c>
      <c r="V16" s="21">
        <v>0.72937303973685796</v>
      </c>
      <c r="W16" s="21">
        <v>6.59601864369352E-2</v>
      </c>
      <c r="X16" s="21">
        <v>-5.77408078433991</v>
      </c>
      <c r="Y16" s="21">
        <v>1.06905440728709</v>
      </c>
      <c r="Z16" s="21">
        <v>0.63287850603642704</v>
      </c>
      <c r="AA16" s="21">
        <v>2.3965791377187098</v>
      </c>
      <c r="AB16" s="21">
        <v>0.76701471776810903</v>
      </c>
      <c r="AC16" s="21">
        <v>0.83667089552602403</v>
      </c>
      <c r="AD16" s="21">
        <v>0.79055322387961202</v>
      </c>
      <c r="AE16" s="21">
        <v>0.88849536900485804</v>
      </c>
    </row>
    <row r="17" spans="1:31" x14ac:dyDescent="0.2">
      <c r="A17" s="3">
        <v>16</v>
      </c>
      <c r="B17" s="7" t="s">
        <v>47</v>
      </c>
      <c r="C17" s="8" t="s">
        <v>132</v>
      </c>
      <c r="D17" s="7" t="s">
        <v>131</v>
      </c>
      <c r="E17" s="7" t="s">
        <v>132</v>
      </c>
      <c r="F17" s="7" t="s">
        <v>8</v>
      </c>
      <c r="G17" s="7" t="s">
        <v>118</v>
      </c>
      <c r="H17" s="22">
        <v>4.8777640131872797</v>
      </c>
      <c r="I17" s="22">
        <v>2.5634833762292</v>
      </c>
      <c r="J17" s="22">
        <v>4.2512014929692299</v>
      </c>
      <c r="K17" s="22">
        <v>-20.937573787191798</v>
      </c>
      <c r="L17" s="22">
        <v>12.1243795751334</v>
      </c>
      <c r="M17" s="22">
        <v>16.103190917243001</v>
      </c>
      <c r="N17" s="22">
        <v>2.7969729785184101</v>
      </c>
      <c r="O17" s="22">
        <v>2.7615665021196398</v>
      </c>
      <c r="P17" s="22">
        <v>2.7154717694554802</v>
      </c>
      <c r="Q17" s="22">
        <v>2.0622665693014</v>
      </c>
      <c r="R17" s="22">
        <v>2.4207330164009302</v>
      </c>
      <c r="S17" s="22">
        <v>-8.3945496685755199</v>
      </c>
      <c r="T17" s="22">
        <v>2.4560395601338199</v>
      </c>
      <c r="U17" s="22">
        <v>1.86893730900018</v>
      </c>
      <c r="V17" s="22">
        <v>2.32094235068584</v>
      </c>
      <c r="W17" s="22">
        <v>5.01546498452685</v>
      </c>
      <c r="X17" s="22">
        <v>-4.1053163899804996</v>
      </c>
      <c r="Y17" s="22">
        <v>2.6786620746003802</v>
      </c>
      <c r="Z17" s="22">
        <v>2.3061166300636202</v>
      </c>
      <c r="AA17" s="22">
        <v>2.8450921963079399</v>
      </c>
      <c r="AB17" s="22">
        <v>2.5197847018140598</v>
      </c>
      <c r="AC17" s="22">
        <v>2.71688101589706</v>
      </c>
      <c r="AD17" s="22">
        <v>2.7951010887568102</v>
      </c>
      <c r="AE17" s="22">
        <v>2.8478668149158102</v>
      </c>
    </row>
    <row r="18" spans="1:31" x14ac:dyDescent="0.2">
      <c r="A18" s="3">
        <v>17</v>
      </c>
      <c r="B18" s="4" t="s">
        <v>76</v>
      </c>
      <c r="C18" s="5" t="s">
        <v>132</v>
      </c>
      <c r="D18" s="4" t="s">
        <v>120</v>
      </c>
      <c r="E18" s="4" t="s">
        <v>132</v>
      </c>
      <c r="F18" s="4" t="s">
        <v>12</v>
      </c>
      <c r="G18" s="4" t="s">
        <v>118</v>
      </c>
      <c r="H18" s="21">
        <v>0.18537646807377101</v>
      </c>
      <c r="I18" s="21">
        <v>-4.3032849896293603E-3</v>
      </c>
      <c r="J18" s="21">
        <v>-0.13838948707604301</v>
      </c>
      <c r="K18" s="21">
        <v>-57.582033680049399</v>
      </c>
      <c r="L18" s="21">
        <v>0.74078926666594203</v>
      </c>
      <c r="M18" s="21">
        <v>6.4833835636294497</v>
      </c>
      <c r="N18" s="21">
        <v>-0.64226527370890196</v>
      </c>
      <c r="O18" s="21">
        <v>-1.4754888385242499</v>
      </c>
      <c r="P18" s="21">
        <v>-1.38669229133351</v>
      </c>
      <c r="Q18" s="21">
        <v>-1.9391789549059</v>
      </c>
      <c r="R18" s="21">
        <v>6.0200045172007404E-3</v>
      </c>
      <c r="S18" s="21">
        <v>-16.725085367125001</v>
      </c>
      <c r="T18" s="21">
        <v>9.2482873310171902E-3</v>
      </c>
      <c r="U18" s="21">
        <v>0.36831538457699398</v>
      </c>
      <c r="V18" s="21">
        <v>2.4621482796869501E-2</v>
      </c>
      <c r="W18" s="21">
        <v>-0.76327001248564597</v>
      </c>
      <c r="X18" s="21">
        <v>-8.7524358448930801</v>
      </c>
      <c r="Y18" s="21">
        <v>5.2245352184304997E-2</v>
      </c>
      <c r="Z18" s="21">
        <v>1.2776351092837999E-2</v>
      </c>
      <c r="AA18" s="21">
        <v>0.52510260092878802</v>
      </c>
      <c r="AB18" s="21">
        <v>1.2495296305826201E-2</v>
      </c>
      <c r="AC18" s="21">
        <v>2.68726118881937E-2</v>
      </c>
      <c r="AD18" s="21">
        <v>2.4996761200013599E-2</v>
      </c>
      <c r="AE18" s="21">
        <v>2.6740116086582898E-2</v>
      </c>
    </row>
    <row r="19" spans="1:31" x14ac:dyDescent="0.2">
      <c r="A19" s="3">
        <v>18</v>
      </c>
      <c r="B19" s="7" t="s">
        <v>69</v>
      </c>
      <c r="C19" s="8" t="s">
        <v>132</v>
      </c>
      <c r="D19" s="7" t="s">
        <v>102</v>
      </c>
      <c r="E19" s="7" t="s">
        <v>132</v>
      </c>
      <c r="F19" s="7" t="s">
        <v>93</v>
      </c>
      <c r="G19" s="7" t="s">
        <v>118</v>
      </c>
      <c r="H19" s="22">
        <v>2.8383275987279899</v>
      </c>
      <c r="I19" s="22">
        <v>0.19319698084424999</v>
      </c>
      <c r="J19" s="22">
        <v>1.90884635702817</v>
      </c>
      <c r="K19" s="22">
        <v>-16.514742934977001</v>
      </c>
      <c r="L19" s="22">
        <v>0.41024595501224698</v>
      </c>
      <c r="M19" s="22">
        <v>6.7440053196975001</v>
      </c>
      <c r="N19" s="22">
        <v>198.50449531394199</v>
      </c>
      <c r="O19" s="22">
        <v>316.04743033562499</v>
      </c>
      <c r="P19" s="22">
        <v>282.66832152180501</v>
      </c>
      <c r="Q19" s="22">
        <v>338.99644922388899</v>
      </c>
      <c r="R19" s="22">
        <v>-9.3006989149843004E-4</v>
      </c>
      <c r="S19" s="22">
        <v>-12.104143431997599</v>
      </c>
      <c r="T19" s="22">
        <v>-4.2375683767921103E-3</v>
      </c>
      <c r="U19" s="22">
        <v>-0.23012139195428699</v>
      </c>
      <c r="V19" s="22">
        <v>9.5722036583450795E-3</v>
      </c>
      <c r="W19" s="22">
        <v>2.1566141469034901</v>
      </c>
      <c r="X19" s="22">
        <v>-9.1295426956714003</v>
      </c>
      <c r="Y19" s="22">
        <v>-7.8962886841508605E-3</v>
      </c>
      <c r="Z19" s="22">
        <v>9.3119871628233892E-3</v>
      </c>
      <c r="AA19" s="22">
        <v>0.30985972180907601</v>
      </c>
      <c r="AB19" s="22">
        <v>2.08254417560796E-3</v>
      </c>
      <c r="AC19" s="22">
        <v>6.6736909424146796E-3</v>
      </c>
      <c r="AD19" s="22">
        <v>5.8985105641232698E-3</v>
      </c>
      <c r="AE19" s="22">
        <v>4.9651356120977196E-3</v>
      </c>
    </row>
    <row r="20" spans="1:31" x14ac:dyDescent="0.2">
      <c r="A20" s="3">
        <v>19</v>
      </c>
      <c r="B20" s="4" t="s">
        <v>55</v>
      </c>
      <c r="C20" s="5" t="s">
        <v>132</v>
      </c>
      <c r="D20" s="4" t="s">
        <v>156</v>
      </c>
      <c r="E20" s="4" t="s">
        <v>132</v>
      </c>
      <c r="F20" s="4" t="s">
        <v>106</v>
      </c>
      <c r="G20" s="4" t="s">
        <v>118</v>
      </c>
      <c r="H20" s="21">
        <v>214.80243241076201</v>
      </c>
      <c r="I20" s="21">
        <v>197.25327167341101</v>
      </c>
      <c r="J20" s="21">
        <v>194.972974651312</v>
      </c>
      <c r="K20" s="21">
        <v>1073.8548076576201</v>
      </c>
      <c r="L20" s="21">
        <v>1044.59999419069</v>
      </c>
      <c r="M20" s="21">
        <v>1019.78516464501</v>
      </c>
      <c r="N20" s="21">
        <v>197.032854366208</v>
      </c>
      <c r="O20" s="21">
        <v>199.675908716902</v>
      </c>
      <c r="P20" s="21">
        <v>200.56201262571801</v>
      </c>
      <c r="Q20" s="21">
        <v>181.57949756807199</v>
      </c>
      <c r="R20" s="21">
        <v>187.193546492434</v>
      </c>
      <c r="S20" s="21">
        <v>163.438747023384</v>
      </c>
      <c r="T20" s="21">
        <v>199.219747784307</v>
      </c>
      <c r="U20" s="21">
        <v>203.08770075907501</v>
      </c>
      <c r="V20" s="21">
        <v>207.851688649181</v>
      </c>
      <c r="W20" s="21">
        <v>202.68138934278099</v>
      </c>
      <c r="X20" s="21">
        <v>166.50656806754299</v>
      </c>
      <c r="Y20" s="21">
        <v>211.36815411608001</v>
      </c>
      <c r="Z20" s="21">
        <v>207.36105695349301</v>
      </c>
      <c r="AA20" s="21">
        <v>163.693320364507</v>
      </c>
      <c r="AB20" s="21">
        <v>209.666142214529</v>
      </c>
      <c r="AC20" s="21">
        <v>223.842104972524</v>
      </c>
      <c r="AD20" s="21">
        <v>215.360026227584</v>
      </c>
      <c r="AE20" s="21">
        <v>209.189565075037</v>
      </c>
    </row>
    <row r="21" spans="1:31" x14ac:dyDescent="0.2">
      <c r="A21" s="3">
        <v>20</v>
      </c>
      <c r="B21" s="7" t="s">
        <v>142</v>
      </c>
      <c r="C21" s="8" t="s">
        <v>132</v>
      </c>
      <c r="D21" s="7" t="s">
        <v>74</v>
      </c>
      <c r="E21" s="7" t="s">
        <v>132</v>
      </c>
      <c r="F21" s="7" t="s">
        <v>20</v>
      </c>
      <c r="G21" s="7" t="s">
        <v>118</v>
      </c>
      <c r="H21" s="22">
        <v>0.79457588515486199</v>
      </c>
      <c r="I21" s="22">
        <v>0.57487123674421003</v>
      </c>
      <c r="J21" s="22">
        <v>0.49561488534028902</v>
      </c>
      <c r="K21" s="22">
        <v>-38.967048277127297</v>
      </c>
      <c r="L21" s="22">
        <v>4.2368085096616497</v>
      </c>
      <c r="M21" s="22">
        <v>8.8980450122976897</v>
      </c>
      <c r="N21" s="22">
        <v>0.95304055959663303</v>
      </c>
      <c r="O21" s="22">
        <v>-0.61431106597740304</v>
      </c>
      <c r="P21" s="22">
        <v>7.5141704935206305E-2</v>
      </c>
      <c r="Q21" s="22">
        <v>-1.7715214097035901</v>
      </c>
      <c r="R21" s="22">
        <v>0.611857276812523</v>
      </c>
      <c r="S21" s="22">
        <v>-16.082384597451899</v>
      </c>
      <c r="T21" s="22">
        <v>0.75335151543475898</v>
      </c>
      <c r="U21" s="22">
        <v>1.1796372092841401</v>
      </c>
      <c r="V21" s="22">
        <v>0.66533123996020305</v>
      </c>
      <c r="W21" s="22">
        <v>-0.112080483503556</v>
      </c>
      <c r="X21" s="22">
        <v>-7.5288819923540098</v>
      </c>
      <c r="Y21" s="22">
        <v>0.86093296952655496</v>
      </c>
      <c r="Z21" s="22">
        <v>0.589661936363017</v>
      </c>
      <c r="AA21" s="22">
        <v>2.0469624049547401</v>
      </c>
      <c r="AB21" s="22">
        <v>0.71354163170391605</v>
      </c>
      <c r="AC21" s="22">
        <v>0.76882576300203598</v>
      </c>
      <c r="AD21" s="22">
        <v>0.72268034790888602</v>
      </c>
      <c r="AE21" s="22">
        <v>0.76164456920895296</v>
      </c>
    </row>
    <row r="22" spans="1:31" x14ac:dyDescent="0.2">
      <c r="A22" s="3">
        <v>21</v>
      </c>
      <c r="B22" s="4" t="s">
        <v>119</v>
      </c>
      <c r="C22" s="5" t="s">
        <v>132</v>
      </c>
      <c r="D22" s="4" t="s">
        <v>98</v>
      </c>
      <c r="E22" s="4" t="s">
        <v>132</v>
      </c>
      <c r="F22" s="4" t="s">
        <v>160</v>
      </c>
      <c r="G22" s="4" t="s">
        <v>118</v>
      </c>
      <c r="H22" s="21">
        <v>156.52293933379701</v>
      </c>
      <c r="I22" s="21">
        <v>39.401868757365399</v>
      </c>
      <c r="J22" s="21">
        <v>12.7383510724988</v>
      </c>
      <c r="K22" s="21">
        <v>2443.70483709782</v>
      </c>
      <c r="L22" s="21">
        <v>2.86822805465729</v>
      </c>
      <c r="M22" s="21">
        <v>332.74280798021601</v>
      </c>
      <c r="N22" s="21">
        <v>207.72834042729701</v>
      </c>
      <c r="O22" s="21">
        <v>343.36928477443098</v>
      </c>
      <c r="P22" s="21">
        <v>299.52119642374703</v>
      </c>
      <c r="Q22" s="21">
        <v>360.98095967939003</v>
      </c>
      <c r="R22" s="21">
        <v>0.14613113871951899</v>
      </c>
      <c r="S22" s="21">
        <v>-16.838949783103899</v>
      </c>
      <c r="T22" s="21">
        <v>2.3192372147457598E-3</v>
      </c>
      <c r="U22" s="21">
        <v>-6.7465287402148499</v>
      </c>
      <c r="V22" s="21">
        <v>0.22403233529759101</v>
      </c>
      <c r="W22" s="21">
        <v>-0.80461166451876998</v>
      </c>
      <c r="X22" s="21">
        <v>-11.090908940481899</v>
      </c>
      <c r="Y22" s="21">
        <v>7.5052557665651207E-2</v>
      </c>
      <c r="Z22" s="21">
        <v>0.89510879336801796</v>
      </c>
      <c r="AA22" s="21">
        <v>0.69214942902625998</v>
      </c>
      <c r="AB22" s="21">
        <v>5.3254276784096402E-2</v>
      </c>
      <c r="AC22" s="21">
        <v>7.7922548142397602E-2</v>
      </c>
      <c r="AD22" s="21">
        <v>7.9571350418129794E-2</v>
      </c>
      <c r="AE22" s="21">
        <v>8.1019378556210803E-2</v>
      </c>
    </row>
    <row r="23" spans="1:31" x14ac:dyDescent="0.2">
      <c r="A23" s="3">
        <v>22</v>
      </c>
      <c r="B23" s="7" t="s">
        <v>101</v>
      </c>
      <c r="C23" s="8" t="s">
        <v>132</v>
      </c>
      <c r="D23" s="7" t="s">
        <v>152</v>
      </c>
      <c r="E23" s="7" t="s">
        <v>132</v>
      </c>
      <c r="F23" s="7" t="s">
        <v>158</v>
      </c>
      <c r="G23" s="7" t="s">
        <v>118</v>
      </c>
      <c r="H23" s="22">
        <v>13811.324297987399</v>
      </c>
      <c r="I23" s="22">
        <v>31253.915687375498</v>
      </c>
      <c r="J23" s="22">
        <v>6.97126107401425</v>
      </c>
      <c r="K23" s="22">
        <v>9630.5237970067992</v>
      </c>
      <c r="L23" s="22">
        <v>10.309182328393801</v>
      </c>
      <c r="M23" s="22">
        <v>1724.9005768688401</v>
      </c>
      <c r="N23" s="22">
        <v>38522.244330114401</v>
      </c>
      <c r="O23" s="22">
        <v>65117.527015979598</v>
      </c>
      <c r="P23" s="22">
        <v>58848.309862723203</v>
      </c>
      <c r="Q23" s="22">
        <v>64841.339776805296</v>
      </c>
      <c r="R23" s="22">
        <v>1.27447884283778</v>
      </c>
      <c r="S23" s="22">
        <v>266.81256878356601</v>
      </c>
      <c r="T23" s="22">
        <v>0.11024424757965801</v>
      </c>
      <c r="U23" s="22">
        <v>-4.5610574354347797</v>
      </c>
      <c r="V23" s="22">
        <v>0.84189703698814899</v>
      </c>
      <c r="W23" s="22">
        <v>1.2094292491579099</v>
      </c>
      <c r="X23" s="22">
        <v>-12.6817202012032</v>
      </c>
      <c r="Y23" s="22">
        <v>0.26462846896749098</v>
      </c>
      <c r="Z23" s="22">
        <v>135.56160611836799</v>
      </c>
      <c r="AA23" s="22">
        <v>0.55310332444643995</v>
      </c>
      <c r="AB23" s="22">
        <v>1.75529385645239E-2</v>
      </c>
      <c r="AC23" s="22">
        <v>0.10021801788017801</v>
      </c>
      <c r="AD23" s="22">
        <v>0.105890465909259</v>
      </c>
      <c r="AE23" s="22">
        <v>0.11238702703926599</v>
      </c>
    </row>
    <row r="24" spans="1:31" x14ac:dyDescent="0.2">
      <c r="A24" s="3">
        <v>23</v>
      </c>
      <c r="B24" s="4" t="s">
        <v>16</v>
      </c>
      <c r="C24" s="5" t="s">
        <v>132</v>
      </c>
      <c r="D24" s="4" t="s">
        <v>24</v>
      </c>
      <c r="E24" s="4" t="s">
        <v>132</v>
      </c>
      <c r="F24" s="4" t="s">
        <v>30</v>
      </c>
      <c r="G24" s="4" t="s">
        <v>118</v>
      </c>
      <c r="H24" s="21">
        <v>36.513341353604297</v>
      </c>
      <c r="I24" s="21">
        <v>88.580149972300404</v>
      </c>
      <c r="J24" s="21">
        <v>-0.63368682500859097</v>
      </c>
      <c r="K24" s="21">
        <v>23.1235120770538</v>
      </c>
      <c r="L24" s="21">
        <v>4.5180060342798898</v>
      </c>
      <c r="M24" s="21">
        <v>11.5590933132973</v>
      </c>
      <c r="N24" s="21">
        <v>182.19309274729201</v>
      </c>
      <c r="O24" s="21">
        <v>181.08729647199499</v>
      </c>
      <c r="P24" s="21">
        <v>257.66127225737898</v>
      </c>
      <c r="Q24" s="21">
        <v>197.658483044109</v>
      </c>
      <c r="R24" s="21">
        <v>-5.2670572896971503E-2</v>
      </c>
      <c r="S24" s="21">
        <v>-13.797924387710699</v>
      </c>
      <c r="T24" s="21">
        <v>-4.21738860199532E-2</v>
      </c>
      <c r="U24" s="21">
        <v>-6.8150034804742701</v>
      </c>
      <c r="V24" s="21">
        <v>-1.1940484971884E-2</v>
      </c>
      <c r="W24" s="21">
        <v>-1.3441320765973299</v>
      </c>
      <c r="X24" s="21">
        <v>-9.6825739743472603</v>
      </c>
      <c r="Y24" s="21">
        <v>4.0046120653323899E-2</v>
      </c>
      <c r="Z24" s="21">
        <v>0.50649357443056497</v>
      </c>
      <c r="AA24" s="21">
        <v>0.26949864598822199</v>
      </c>
      <c r="AB24" s="21">
        <v>-9.9168674073263699E-4</v>
      </c>
      <c r="AC24" s="21">
        <v>1.7642809305375901E-2</v>
      </c>
      <c r="AD24" s="21">
        <v>1.5261962721915301E-2</v>
      </c>
      <c r="AE24" s="21">
        <v>1.4343908258187699E-2</v>
      </c>
    </row>
    <row r="25" spans="1:31" x14ac:dyDescent="0.2">
      <c r="A25" s="3">
        <v>24</v>
      </c>
      <c r="B25" s="7" t="s">
        <v>150</v>
      </c>
      <c r="C25" s="8" t="s">
        <v>132</v>
      </c>
      <c r="D25" s="7" t="s">
        <v>84</v>
      </c>
      <c r="E25" s="7" t="s">
        <v>132</v>
      </c>
      <c r="F25" s="7" t="s">
        <v>133</v>
      </c>
      <c r="G25" s="7" t="s">
        <v>118</v>
      </c>
      <c r="H25" s="22">
        <v>13205.4581423933</v>
      </c>
      <c r="I25" s="22">
        <v>28253.748408728999</v>
      </c>
      <c r="J25" s="22">
        <v>10.059499087522401</v>
      </c>
      <c r="K25" s="22">
        <v>7439.9268969772502</v>
      </c>
      <c r="L25" s="22">
        <v>73.866531092176999</v>
      </c>
      <c r="M25" s="22">
        <v>6380.7757414020998</v>
      </c>
      <c r="N25" s="22">
        <v>30063.814354570499</v>
      </c>
      <c r="O25" s="22">
        <v>46781.744162083502</v>
      </c>
      <c r="P25" s="22">
        <v>43616.929005363098</v>
      </c>
      <c r="Q25" s="22">
        <v>50206.116343117399</v>
      </c>
      <c r="R25" s="22">
        <v>5.8725191791372202</v>
      </c>
      <c r="S25" s="22">
        <v>258.105182506777</v>
      </c>
      <c r="T25" s="22">
        <v>0.119408187108448</v>
      </c>
      <c r="U25" s="22">
        <v>-4.8817664561929197</v>
      </c>
      <c r="V25" s="22">
        <v>1.33695367196241</v>
      </c>
      <c r="W25" s="22">
        <v>0.73781606320206095</v>
      </c>
      <c r="X25" s="22">
        <v>-16.5680167935088</v>
      </c>
      <c r="Y25" s="22">
        <v>0.28473615459693502</v>
      </c>
      <c r="Z25" s="22">
        <v>226.520723057011</v>
      </c>
      <c r="AA25" s="22">
        <v>0.29548615568393999</v>
      </c>
      <c r="AB25" s="22">
        <v>8.9252045464936394E-3</v>
      </c>
      <c r="AC25" s="22">
        <v>6.4822476579398505E-2</v>
      </c>
      <c r="AD25" s="22">
        <v>6.3524509931894693E-2</v>
      </c>
      <c r="AE25" s="22">
        <v>6.3586392699549799E-2</v>
      </c>
    </row>
    <row r="26" spans="1:31" x14ac:dyDescent="0.2">
      <c r="A26" s="3">
        <v>25</v>
      </c>
      <c r="B26" s="4" t="s">
        <v>16</v>
      </c>
      <c r="C26" s="5" t="s">
        <v>132</v>
      </c>
      <c r="D26" s="4" t="s">
        <v>100</v>
      </c>
      <c r="E26" s="4" t="s">
        <v>132</v>
      </c>
      <c r="F26" s="4" t="s">
        <v>43</v>
      </c>
      <c r="G26" s="4" t="s">
        <v>118</v>
      </c>
      <c r="H26" s="21">
        <v>41.171974580477098</v>
      </c>
      <c r="I26" s="21">
        <v>89.773780074564002</v>
      </c>
      <c r="J26" s="21">
        <v>-0.61934357379333504</v>
      </c>
      <c r="K26" s="21">
        <v>-10.6767729694908</v>
      </c>
      <c r="L26" s="21">
        <v>3.8509415953186399</v>
      </c>
      <c r="M26" s="21">
        <v>24.034492652311901</v>
      </c>
      <c r="N26" s="21">
        <v>120.61740280075</v>
      </c>
      <c r="O26" s="21">
        <v>161.93554295324199</v>
      </c>
      <c r="P26" s="21">
        <v>174.35989204229301</v>
      </c>
      <c r="Q26" s="21">
        <v>181.06678346725101</v>
      </c>
      <c r="R26" s="21">
        <v>-3.4748203316900601E-2</v>
      </c>
      <c r="S26" s="21">
        <v>-21.2929179419584</v>
      </c>
      <c r="T26" s="21">
        <v>-4.0799630970733303E-2</v>
      </c>
      <c r="U26" s="21">
        <v>-6.82173213192487</v>
      </c>
      <c r="V26" s="21">
        <v>-1.23352106567598E-2</v>
      </c>
      <c r="W26" s="21">
        <v>-1.41986890365785</v>
      </c>
      <c r="X26" s="21">
        <v>-12.727910339370901</v>
      </c>
      <c r="Y26" s="21">
        <v>3.8491018509937899E-2</v>
      </c>
      <c r="Z26" s="21">
        <v>0.85359592454599698</v>
      </c>
      <c r="AA26" s="21">
        <v>0.16293318249453401</v>
      </c>
      <c r="AB26" s="21">
        <v>-1.5866992016811199E-3</v>
      </c>
      <c r="AC26" s="21">
        <v>1.35959327220736E-2</v>
      </c>
      <c r="AD26" s="21">
        <v>1.2580787834905001E-2</v>
      </c>
      <c r="AE26" s="21">
        <v>1.25164087677587E-2</v>
      </c>
    </row>
    <row r="27" spans="1:31" x14ac:dyDescent="0.2">
      <c r="A27" s="3">
        <v>26</v>
      </c>
      <c r="B27" s="7" t="s">
        <v>137</v>
      </c>
      <c r="C27" s="8" t="s">
        <v>132</v>
      </c>
      <c r="D27" s="7" t="s">
        <v>122</v>
      </c>
      <c r="E27" s="7" t="s">
        <v>132</v>
      </c>
      <c r="F27" s="7" t="s">
        <v>49</v>
      </c>
      <c r="G27" s="7" t="s">
        <v>118</v>
      </c>
      <c r="H27" s="12" t="s">
        <v>25</v>
      </c>
      <c r="I27" s="22">
        <v>22494.8358805192</v>
      </c>
      <c r="J27" s="22">
        <v>92.337613196898801</v>
      </c>
      <c r="K27" s="22">
        <v>4090.4306556200299</v>
      </c>
      <c r="L27" s="22">
        <v>3791.6337320320199</v>
      </c>
      <c r="M27" s="22">
        <v>26193.098409960101</v>
      </c>
      <c r="N27" s="22">
        <v>45763.414236186603</v>
      </c>
      <c r="O27" s="22">
        <v>76882.884938569405</v>
      </c>
      <c r="P27" s="22">
        <v>64474.607674475003</v>
      </c>
      <c r="Q27" s="22">
        <v>83133.676259829794</v>
      </c>
      <c r="R27" s="22">
        <v>655.94371119677305</v>
      </c>
      <c r="S27" s="22">
        <v>4028.5507096104702</v>
      </c>
      <c r="T27" s="22">
        <v>0.92345523005887398</v>
      </c>
      <c r="U27" s="22">
        <v>-2.7483499406003302</v>
      </c>
      <c r="V27" s="22">
        <v>1.69479432617723</v>
      </c>
      <c r="W27" s="22">
        <v>6.8602417852694701</v>
      </c>
      <c r="X27" s="22">
        <v>-16.392403371405699</v>
      </c>
      <c r="Y27" s="22">
        <v>1.09732616221097</v>
      </c>
      <c r="Z27" s="22">
        <v>568.89408235020198</v>
      </c>
      <c r="AA27" s="22">
        <v>0.28248814746929901</v>
      </c>
      <c r="AB27" s="22">
        <v>2.2213911805434399E-2</v>
      </c>
      <c r="AC27" s="22">
        <v>0.14917811654163399</v>
      </c>
      <c r="AD27" s="22">
        <v>0.14421547545021399</v>
      </c>
      <c r="AE27" s="22">
        <v>0.142153414631079</v>
      </c>
    </row>
    <row r="28" spans="1:31" x14ac:dyDescent="0.2">
      <c r="A28" s="3">
        <v>27</v>
      </c>
      <c r="B28" s="4" t="s">
        <v>7</v>
      </c>
      <c r="C28" s="5" t="s">
        <v>132</v>
      </c>
      <c r="D28" s="4" t="s">
        <v>110</v>
      </c>
      <c r="E28" s="4" t="s">
        <v>132</v>
      </c>
      <c r="F28" s="4" t="s">
        <v>91</v>
      </c>
      <c r="G28" s="4" t="s">
        <v>118</v>
      </c>
      <c r="H28" s="21">
        <v>218.020226287556</v>
      </c>
      <c r="I28" s="21">
        <v>98.535245580374294</v>
      </c>
      <c r="J28" s="21">
        <v>30.613439395591499</v>
      </c>
      <c r="K28" s="21">
        <v>488.159069627718</v>
      </c>
      <c r="L28" s="21">
        <v>18.357994354214899</v>
      </c>
      <c r="M28" s="21">
        <v>14430.195544366101</v>
      </c>
      <c r="N28" s="21">
        <v>315.13528427227902</v>
      </c>
      <c r="O28" s="21">
        <v>331.91336123913902</v>
      </c>
      <c r="P28" s="21">
        <v>449.70634705107699</v>
      </c>
      <c r="Q28" s="21">
        <v>366.72034388781401</v>
      </c>
      <c r="R28" s="21">
        <v>4.8767506780329697</v>
      </c>
      <c r="S28" s="21">
        <v>-6.55147117776239</v>
      </c>
      <c r="T28" s="21">
        <v>-3.1838260816581601E-2</v>
      </c>
      <c r="U28" s="21">
        <v>-6.7672428576186903</v>
      </c>
      <c r="V28" s="21">
        <v>0.19146092384697699</v>
      </c>
      <c r="W28" s="21">
        <v>0.66896951368804902</v>
      </c>
      <c r="X28" s="21">
        <v>-17.370519117324601</v>
      </c>
      <c r="Y28" s="21">
        <v>4.6194052912821498E-2</v>
      </c>
      <c r="Z28" s="21">
        <v>2.2855278961645</v>
      </c>
      <c r="AA28" s="21">
        <v>0.11326242419614201</v>
      </c>
      <c r="AB28" s="21">
        <v>1.52720391168758E-2</v>
      </c>
      <c r="AC28" s="21">
        <v>3.1310058754446701E-2</v>
      </c>
      <c r="AD28" s="21">
        <v>3.2792922670326297E-2</v>
      </c>
      <c r="AE28" s="21">
        <v>3.4757357846275601E-2</v>
      </c>
    </row>
    <row r="29" spans="1:31" x14ac:dyDescent="0.2">
      <c r="A29" s="3">
        <v>28</v>
      </c>
      <c r="B29" s="7" t="s">
        <v>7</v>
      </c>
      <c r="C29" s="8" t="s">
        <v>132</v>
      </c>
      <c r="D29" s="7" t="s">
        <v>34</v>
      </c>
      <c r="E29" s="7" t="s">
        <v>132</v>
      </c>
      <c r="F29" s="7" t="s">
        <v>9</v>
      </c>
      <c r="G29" s="7" t="s">
        <v>118</v>
      </c>
      <c r="H29" s="22">
        <v>94.774596313860101</v>
      </c>
      <c r="I29" s="22">
        <v>13.4435411437771</v>
      </c>
      <c r="J29" s="22">
        <v>27.674761848016601</v>
      </c>
      <c r="K29" s="22">
        <v>454.31385217725</v>
      </c>
      <c r="L29" s="22">
        <v>5.0235891305469904</v>
      </c>
      <c r="M29" s="22">
        <v>15775.9520963015</v>
      </c>
      <c r="N29" s="22">
        <v>41.915000450146003</v>
      </c>
      <c r="O29" s="22">
        <v>54.398778682081897</v>
      </c>
      <c r="P29" s="22">
        <v>63.786612522612003</v>
      </c>
      <c r="Q29" s="22">
        <v>78.916740748595501</v>
      </c>
      <c r="R29" s="22">
        <v>2.5182222835087198</v>
      </c>
      <c r="S29" s="22">
        <v>-26.671912168085399</v>
      </c>
      <c r="T29" s="22">
        <v>-3.5760665989975703E-2</v>
      </c>
      <c r="U29" s="22">
        <v>-6.7795129265010603</v>
      </c>
      <c r="V29" s="22">
        <v>0.21263215761530099</v>
      </c>
      <c r="W29" s="22">
        <v>0.30664186877455901</v>
      </c>
      <c r="X29" s="22">
        <v>-20.287618838109001</v>
      </c>
      <c r="Y29" s="22">
        <v>5.8417502650601097E-2</v>
      </c>
      <c r="Z29" s="22">
        <v>0.33619387475864998</v>
      </c>
      <c r="AA29" s="22">
        <v>9.1517833917105093E-2</v>
      </c>
      <c r="AB29" s="22">
        <v>1.1106927954727499E-2</v>
      </c>
      <c r="AC29" s="22">
        <v>3.2907541523862202E-2</v>
      </c>
      <c r="AD29" s="22">
        <v>2.9492956780338701E-2</v>
      </c>
      <c r="AE29" s="22">
        <v>2.9188373356646601E-2</v>
      </c>
    </row>
    <row r="30" spans="1:31" x14ac:dyDescent="0.2">
      <c r="A30" s="3">
        <v>29</v>
      </c>
      <c r="B30" s="4" t="s">
        <v>145</v>
      </c>
      <c r="C30" s="5" t="s">
        <v>132</v>
      </c>
      <c r="D30" s="4" t="s">
        <v>80</v>
      </c>
      <c r="E30" s="4" t="s">
        <v>132</v>
      </c>
      <c r="F30" s="4" t="s">
        <v>108</v>
      </c>
      <c r="G30" s="4" t="s">
        <v>118</v>
      </c>
      <c r="H30" s="21">
        <v>189.69461870654001</v>
      </c>
      <c r="I30" s="21">
        <v>176.879828955124</v>
      </c>
      <c r="J30" s="21">
        <v>192.368000476899</v>
      </c>
      <c r="K30" s="21">
        <v>1013.1464977499199</v>
      </c>
      <c r="L30" s="21">
        <v>1000.4195519152</v>
      </c>
      <c r="M30" s="21">
        <v>915.39622205505395</v>
      </c>
      <c r="N30" s="21">
        <v>201.157637032195</v>
      </c>
      <c r="O30" s="21">
        <v>216.01415099819999</v>
      </c>
      <c r="P30" s="21">
        <v>206.421322278893</v>
      </c>
      <c r="Q30" s="21">
        <v>183.16241947874599</v>
      </c>
      <c r="R30" s="21">
        <v>153.80197733308901</v>
      </c>
      <c r="S30" s="21">
        <v>159.63148829833901</v>
      </c>
      <c r="T30" s="21">
        <v>199.56466663476499</v>
      </c>
      <c r="U30" s="21">
        <v>188.147703139344</v>
      </c>
      <c r="V30" s="21">
        <v>152.18284292790699</v>
      </c>
      <c r="W30" s="21">
        <v>169.92242837106599</v>
      </c>
      <c r="X30" s="21">
        <v>161.26289748946101</v>
      </c>
      <c r="Y30" s="21">
        <v>217.37441101089399</v>
      </c>
      <c r="Z30" s="21">
        <v>162.88974384474901</v>
      </c>
      <c r="AA30" s="21">
        <v>164.35005604893101</v>
      </c>
      <c r="AB30" s="21">
        <v>209.81693347290201</v>
      </c>
      <c r="AC30" s="21">
        <v>184.98344525847301</v>
      </c>
      <c r="AD30" s="21">
        <v>182.39253239462499</v>
      </c>
      <c r="AE30" s="21">
        <v>197.94293742596901</v>
      </c>
    </row>
    <row r="31" spans="1:31" x14ac:dyDescent="0.2">
      <c r="A31" s="3">
        <v>30</v>
      </c>
      <c r="B31" s="7" t="s">
        <v>71</v>
      </c>
      <c r="C31" s="8" t="s">
        <v>132</v>
      </c>
      <c r="D31" s="7" t="s">
        <v>115</v>
      </c>
      <c r="E31" s="7" t="s">
        <v>132</v>
      </c>
      <c r="F31" s="7" t="s">
        <v>68</v>
      </c>
      <c r="G31" s="7" t="s">
        <v>118</v>
      </c>
      <c r="H31" s="22">
        <v>0.75451796517397496</v>
      </c>
      <c r="I31" s="22">
        <v>0.65547441967890496</v>
      </c>
      <c r="J31" s="22">
        <v>0.59325209019493597</v>
      </c>
      <c r="K31" s="22">
        <v>-127.877621567251</v>
      </c>
      <c r="L31" s="22">
        <v>3.84299401019388</v>
      </c>
      <c r="M31" s="22">
        <v>7.5079451535665598</v>
      </c>
      <c r="N31" s="22">
        <v>0.80801247785049901</v>
      </c>
      <c r="O31" s="22">
        <v>-1.7740300046191999</v>
      </c>
      <c r="P31" s="22">
        <v>0.32447904177001002</v>
      </c>
      <c r="Q31" s="22">
        <v>1.1564022520400401</v>
      </c>
      <c r="R31" s="22">
        <v>0.55412428590192397</v>
      </c>
      <c r="S31" s="22">
        <v>-15.6938120931196</v>
      </c>
      <c r="T31" s="22">
        <v>0.72262221660862203</v>
      </c>
      <c r="U31" s="22">
        <v>0.46597718172650798</v>
      </c>
      <c r="V31" s="22">
        <v>0.57147721441657995</v>
      </c>
      <c r="W31" s="22">
        <v>-0.695648050750029</v>
      </c>
      <c r="X31" s="22">
        <v>-10.6771887508062</v>
      </c>
      <c r="Y31" s="22">
        <v>0.96622254556626297</v>
      </c>
      <c r="Z31" s="22">
        <v>0.59050913968152796</v>
      </c>
      <c r="AA31" s="22">
        <v>2.0928346232174699</v>
      </c>
      <c r="AB31" s="22">
        <v>0.77078300385481802</v>
      </c>
      <c r="AC31" s="22">
        <v>0.79174563688630895</v>
      </c>
      <c r="AD31" s="22">
        <v>0.79480067198996396</v>
      </c>
      <c r="AE31" s="22">
        <v>0.85852024618380796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FC20-CD30-40F5-A480-B3AE4B4267A2}">
  <dimension ref="A1:AA7"/>
  <sheetViews>
    <sheetView workbookViewId="0">
      <selection activeCell="H2" sqref="H2"/>
    </sheetView>
  </sheetViews>
  <sheetFormatPr defaultRowHeight="12.75" x14ac:dyDescent="0.2"/>
  <cols>
    <col min="1" max="1" width="10.7109375" bestFit="1" customWidth="1"/>
    <col min="26" max="26" width="4.42578125" bestFit="1" customWidth="1"/>
    <col min="27" max="27" width="5.28515625" bestFit="1" customWidth="1"/>
  </cols>
  <sheetData>
    <row r="1" spans="1:27" ht="42" x14ac:dyDescent="0.2">
      <c r="B1" s="29" t="s">
        <v>40</v>
      </c>
      <c r="C1" s="1" t="s">
        <v>148</v>
      </c>
      <c r="D1" s="28" t="s">
        <v>2</v>
      </c>
      <c r="E1" s="1" t="s">
        <v>36</v>
      </c>
      <c r="F1" s="1" t="s">
        <v>10</v>
      </c>
      <c r="G1" s="1" t="s">
        <v>51</v>
      </c>
      <c r="H1" s="2" t="s">
        <v>125</v>
      </c>
      <c r="I1" s="1" t="s">
        <v>168</v>
      </c>
      <c r="J1" s="2" t="s">
        <v>18</v>
      </c>
      <c r="K1" s="1" t="s">
        <v>167</v>
      </c>
      <c r="L1" s="1" t="s">
        <v>149</v>
      </c>
      <c r="M1" s="1" t="s">
        <v>140</v>
      </c>
      <c r="N1" s="1" t="s">
        <v>67</v>
      </c>
      <c r="O1" s="1" t="s">
        <v>14</v>
      </c>
      <c r="P1" s="1" t="s">
        <v>92</v>
      </c>
      <c r="Q1" s="1" t="s">
        <v>162</v>
      </c>
      <c r="R1" s="1" t="s">
        <v>166</v>
      </c>
      <c r="S1" s="1" t="s">
        <v>165</v>
      </c>
      <c r="T1" s="1" t="s">
        <v>82</v>
      </c>
      <c r="U1" s="1" t="s">
        <v>39</v>
      </c>
      <c r="V1" s="1" t="s">
        <v>60</v>
      </c>
      <c r="W1" s="1" t="s">
        <v>81</v>
      </c>
      <c r="X1" s="1" t="s">
        <v>28</v>
      </c>
      <c r="Y1" s="1" t="s">
        <v>143</v>
      </c>
      <c r="Z1" t="s">
        <v>164</v>
      </c>
      <c r="AA1" t="s">
        <v>164</v>
      </c>
    </row>
    <row r="2" spans="1:27" x14ac:dyDescent="0.2">
      <c r="A2" s="27" t="s">
        <v>37</v>
      </c>
      <c r="B2" s="21">
        <v>5</v>
      </c>
      <c r="C2" s="21">
        <v>5</v>
      </c>
      <c r="D2" s="21">
        <v>5</v>
      </c>
      <c r="E2" s="21">
        <v>25</v>
      </c>
      <c r="F2" s="21">
        <v>25</v>
      </c>
      <c r="G2" s="21">
        <v>25</v>
      </c>
      <c r="H2" s="21">
        <v>5</v>
      </c>
      <c r="I2" s="21">
        <v>5</v>
      </c>
      <c r="J2" s="21">
        <v>5</v>
      </c>
      <c r="K2" s="21">
        <v>5</v>
      </c>
      <c r="L2" s="21">
        <v>5</v>
      </c>
      <c r="M2" s="21">
        <v>5</v>
      </c>
      <c r="N2" s="21">
        <v>5</v>
      </c>
      <c r="O2" s="21">
        <v>5</v>
      </c>
      <c r="P2" s="21">
        <v>5</v>
      </c>
      <c r="Q2" s="21">
        <v>5</v>
      </c>
      <c r="R2" s="21">
        <v>5</v>
      </c>
      <c r="S2" s="21">
        <v>5</v>
      </c>
      <c r="T2" s="21">
        <v>5</v>
      </c>
      <c r="U2" s="21">
        <v>5</v>
      </c>
      <c r="V2" s="21">
        <v>5</v>
      </c>
      <c r="W2" s="21">
        <v>5</v>
      </c>
      <c r="X2" s="21">
        <v>5</v>
      </c>
      <c r="Y2" s="21">
        <v>5</v>
      </c>
      <c r="Z2" s="25">
        <v>5</v>
      </c>
      <c r="AA2" s="25">
        <v>25</v>
      </c>
    </row>
    <row r="3" spans="1:27" x14ac:dyDescent="0.2">
      <c r="A3" s="26" t="s">
        <v>52</v>
      </c>
      <c r="B3" s="22">
        <v>19.694258083558001</v>
      </c>
      <c r="C3" s="22">
        <v>20.085958528389099</v>
      </c>
      <c r="D3" s="22">
        <v>19.7946393842448</v>
      </c>
      <c r="E3" s="22">
        <v>102.323937228429</v>
      </c>
      <c r="F3" s="22">
        <v>99.631190495764699</v>
      </c>
      <c r="G3" s="22">
        <v>100.16284381394399</v>
      </c>
      <c r="H3" s="22">
        <v>20.247384464611901</v>
      </c>
      <c r="I3" s="22">
        <v>19.925588254396299</v>
      </c>
      <c r="J3" s="22">
        <v>20.136593272675398</v>
      </c>
      <c r="K3" s="22">
        <v>19.922219584109101</v>
      </c>
      <c r="L3" s="22">
        <v>20.093174984868799</v>
      </c>
      <c r="M3" s="22">
        <v>21.645219629216399</v>
      </c>
      <c r="N3" s="22">
        <v>19.836081232381002</v>
      </c>
      <c r="O3" s="22">
        <v>19.844824813201999</v>
      </c>
      <c r="P3" s="22">
        <v>20.093658566336298</v>
      </c>
      <c r="Q3" s="22">
        <v>20.049102927103402</v>
      </c>
      <c r="R3" s="22">
        <v>20.022698845733299</v>
      </c>
      <c r="S3" s="22">
        <v>19.793115433048801</v>
      </c>
      <c r="T3" s="22">
        <v>20.108741511251498</v>
      </c>
      <c r="U3" s="22">
        <v>19.955309774352401</v>
      </c>
      <c r="V3" s="22">
        <v>19.942565802814102</v>
      </c>
      <c r="W3" s="22">
        <v>20.069591763137201</v>
      </c>
      <c r="X3" s="22">
        <v>20.075884665972801</v>
      </c>
      <c r="Y3" s="22">
        <v>19.943199141560299</v>
      </c>
      <c r="Z3" s="25">
        <v>20</v>
      </c>
      <c r="AA3" s="25">
        <v>100</v>
      </c>
    </row>
    <row r="4" spans="1:27" x14ac:dyDescent="0.2">
      <c r="A4" s="27" t="s">
        <v>41</v>
      </c>
      <c r="B4" s="21">
        <v>49.992265141743999</v>
      </c>
      <c r="C4" s="21">
        <v>49.4833805252673</v>
      </c>
      <c r="D4" s="21">
        <v>49.441097809690604</v>
      </c>
      <c r="E4" s="21">
        <v>245.98479106638399</v>
      </c>
      <c r="F4" s="21">
        <v>251.63757184623901</v>
      </c>
      <c r="G4" s="21">
        <v>247.934301497012</v>
      </c>
      <c r="H4" s="21">
        <v>49.976905172785301</v>
      </c>
      <c r="I4" s="21">
        <v>50.772708913242099</v>
      </c>
      <c r="J4" s="21">
        <v>49.9379620438609</v>
      </c>
      <c r="K4" s="21">
        <v>50.612628849178897</v>
      </c>
      <c r="L4" s="21">
        <v>49.320263085487099</v>
      </c>
      <c r="M4" s="21">
        <v>53.056129503237699</v>
      </c>
      <c r="N4" s="21">
        <v>50.621477664537402</v>
      </c>
      <c r="O4" s="21">
        <v>50.119764492361803</v>
      </c>
      <c r="P4" s="21">
        <v>49.676070285405601</v>
      </c>
      <c r="Q4" s="21">
        <v>48.0555932396313</v>
      </c>
      <c r="R4" s="21">
        <v>52.647773980363503</v>
      </c>
      <c r="S4" s="21">
        <v>50.561900019825799</v>
      </c>
      <c r="T4" s="21">
        <v>50.244572993481803</v>
      </c>
      <c r="U4" s="21">
        <v>50.206482950003597</v>
      </c>
      <c r="V4" s="21">
        <v>50.293736654043002</v>
      </c>
      <c r="W4" s="21">
        <v>49.849676801839401</v>
      </c>
      <c r="X4" s="21">
        <v>49.5446503576254</v>
      </c>
      <c r="Y4" s="21">
        <v>50.392887345576497</v>
      </c>
      <c r="Z4" s="25">
        <v>50</v>
      </c>
      <c r="AA4" s="25">
        <v>250</v>
      </c>
    </row>
    <row r="5" spans="1:27" x14ac:dyDescent="0.2">
      <c r="A5" s="26" t="s">
        <v>105</v>
      </c>
      <c r="B5" s="22">
        <v>200.27006382619001</v>
      </c>
      <c r="C5" s="22">
        <v>201.20344311700501</v>
      </c>
      <c r="D5" s="22">
        <v>200.28018310665601</v>
      </c>
      <c r="E5" s="22">
        <v>996.62857078448201</v>
      </c>
      <c r="F5" s="22">
        <v>1004.20563149513</v>
      </c>
      <c r="G5" s="22">
        <v>999.27821873900405</v>
      </c>
      <c r="H5" s="22">
        <v>199.77720955891201</v>
      </c>
      <c r="I5" s="22">
        <v>199.46977398712301</v>
      </c>
      <c r="J5" s="22">
        <v>200.103808092218</v>
      </c>
      <c r="K5" s="22">
        <v>200.32342623857201</v>
      </c>
      <c r="L5" s="22">
        <v>200.998761351219</v>
      </c>
      <c r="M5" s="22">
        <v>202.80334336819999</v>
      </c>
      <c r="N5" s="22">
        <v>200.37895985002501</v>
      </c>
      <c r="O5" s="22">
        <v>200.126091146482</v>
      </c>
      <c r="P5" s="22">
        <v>201.782863034889</v>
      </c>
      <c r="Q5" s="22">
        <v>200.06090135503101</v>
      </c>
      <c r="R5" s="22">
        <v>200.91120982822099</v>
      </c>
      <c r="S5" s="22">
        <v>199.679230714049</v>
      </c>
      <c r="T5" s="22">
        <v>200.863557156019</v>
      </c>
      <c r="U5" s="22">
        <v>199.73367473386</v>
      </c>
      <c r="V5" s="22">
        <v>200.10363505342201</v>
      </c>
      <c r="W5" s="22">
        <v>200.59326933727701</v>
      </c>
      <c r="X5" s="22">
        <v>200.70287452006201</v>
      </c>
      <c r="Y5" s="22">
        <v>199.607200361834</v>
      </c>
      <c r="Z5" s="25">
        <v>200</v>
      </c>
      <c r="AA5" s="25">
        <v>1000</v>
      </c>
    </row>
    <row r="6" spans="1:27" x14ac:dyDescent="0.2">
      <c r="A6" s="27" t="s">
        <v>3</v>
      </c>
      <c r="B6" s="21">
        <v>499.08309498343698</v>
      </c>
      <c r="C6" s="21">
        <v>502.56146762984702</v>
      </c>
      <c r="D6" s="21">
        <v>498.99482338759702</v>
      </c>
      <c r="E6" s="21">
        <v>2475.0831731769999</v>
      </c>
      <c r="F6" s="21">
        <v>2480.2832681927698</v>
      </c>
      <c r="G6" s="21">
        <v>2495.1371843882998</v>
      </c>
      <c r="H6" s="21">
        <v>498.00308663899102</v>
      </c>
      <c r="I6" s="21">
        <v>496.64145010532297</v>
      </c>
      <c r="J6" s="21">
        <v>497.64489340579399</v>
      </c>
      <c r="K6" s="21">
        <v>497.64430877642599</v>
      </c>
      <c r="L6" s="21">
        <v>501.84487845579599</v>
      </c>
      <c r="M6" s="21">
        <v>505.34059860587502</v>
      </c>
      <c r="N6" s="21">
        <v>494.64102410548497</v>
      </c>
      <c r="O6" s="21">
        <v>497.99152575881101</v>
      </c>
      <c r="P6" s="21">
        <v>498.214562872329</v>
      </c>
      <c r="Q6" s="21">
        <v>499.271842458869</v>
      </c>
      <c r="R6" s="21">
        <v>502.77072148238301</v>
      </c>
      <c r="S6" s="21">
        <v>494.865921322811</v>
      </c>
      <c r="T6" s="21">
        <v>499.26357633435401</v>
      </c>
      <c r="U6" s="21">
        <v>512.13942423606102</v>
      </c>
      <c r="V6" s="21">
        <v>499.78175665976499</v>
      </c>
      <c r="W6" s="21">
        <v>498.08779913965401</v>
      </c>
      <c r="X6" s="21">
        <v>499.51477496819399</v>
      </c>
      <c r="Y6" s="21">
        <v>497.75989874153299</v>
      </c>
      <c r="Z6" s="25">
        <v>500</v>
      </c>
      <c r="AA6" s="25">
        <v>2500</v>
      </c>
    </row>
    <row r="7" spans="1:27" x14ac:dyDescent="0.2">
      <c r="A7" s="26" t="s">
        <v>163</v>
      </c>
      <c r="B7" s="22">
        <v>1991.7794759138701</v>
      </c>
      <c r="C7" s="22">
        <v>2001.61976723362</v>
      </c>
      <c r="D7" s="22">
        <v>2003.0666662992601</v>
      </c>
      <c r="E7" s="22">
        <v>9924.5410665754207</v>
      </c>
      <c r="F7" s="22">
        <v>9935.26340796351</v>
      </c>
      <c r="G7" s="22">
        <v>9972.44458187292</v>
      </c>
      <c r="H7" s="22">
        <v>1996.83068163946</v>
      </c>
      <c r="I7" s="22">
        <v>1995.1763967090001</v>
      </c>
      <c r="J7" s="22">
        <v>1994.7861933293</v>
      </c>
      <c r="K7" s="22">
        <v>2011.3280197251199</v>
      </c>
      <c r="L7" s="22">
        <v>2005.1750896968799</v>
      </c>
      <c r="M7" s="22">
        <v>2012.0669126752</v>
      </c>
      <c r="N7" s="22">
        <v>1991.2860500689401</v>
      </c>
      <c r="O7" s="22">
        <v>1983.3989357551</v>
      </c>
      <c r="P7" s="22">
        <v>1991.5981454611399</v>
      </c>
      <c r="Q7" s="22">
        <v>2000.9578409706701</v>
      </c>
      <c r="R7" s="22">
        <v>2016.8220392166099</v>
      </c>
      <c r="S7" s="22">
        <v>1988.5526810783499</v>
      </c>
      <c r="T7" s="22">
        <v>1994.5184277839101</v>
      </c>
      <c r="U7" s="22">
        <v>2006.6944015819199</v>
      </c>
      <c r="V7" s="22">
        <v>1987.06812894887</v>
      </c>
      <c r="W7" s="22">
        <v>1983.2526078396399</v>
      </c>
      <c r="X7" s="22">
        <v>1991.9955737467301</v>
      </c>
      <c r="Y7" s="22">
        <v>1993.47059188809</v>
      </c>
      <c r="Z7" s="25">
        <v>2000</v>
      </c>
      <c r="AA7" s="25">
        <v>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4224-E027-440F-BBD9-C09CFD9F0A93}">
  <dimension ref="A1:AX19"/>
  <sheetViews>
    <sheetView zoomScale="98" zoomScaleNormal="98" workbookViewId="0">
      <selection activeCell="AG2" sqref="AG2"/>
    </sheetView>
  </sheetViews>
  <sheetFormatPr defaultRowHeight="12.75" x14ac:dyDescent="0.2"/>
  <cols>
    <col min="1" max="1" width="11.85546875" bestFit="1" customWidth="1"/>
    <col min="2" max="2" width="7.7109375" bestFit="1" customWidth="1"/>
    <col min="3" max="4" width="6.7109375" bestFit="1" customWidth="1"/>
    <col min="5" max="6" width="7.5703125" bestFit="1" customWidth="1"/>
    <col min="7" max="7" width="9.7109375" bestFit="1" customWidth="1"/>
    <col min="8" max="8" width="8.85546875" bestFit="1" customWidth="1"/>
    <col min="9" max="9" width="7.7109375" bestFit="1" customWidth="1"/>
    <col min="10" max="10" width="10.42578125" bestFit="1" customWidth="1"/>
    <col min="11" max="11" width="7.7109375" bestFit="1" customWidth="1"/>
    <col min="12" max="12" width="6.7109375" bestFit="1" customWidth="1"/>
    <col min="13" max="13" width="7.28515625" bestFit="1" customWidth="1"/>
    <col min="14" max="16" width="6.7109375" bestFit="1" customWidth="1"/>
    <col min="17" max="17" width="6.7109375" style="30" bestFit="1" customWidth="1"/>
    <col min="18" max="18" width="7.28515625" style="30" bestFit="1" customWidth="1"/>
    <col min="19" max="19" width="6.7109375" style="30" customWidth="1"/>
    <col min="20" max="22" width="6.7109375" style="30" bestFit="1" customWidth="1"/>
    <col min="23" max="24" width="6.7109375" style="31" bestFit="1" customWidth="1"/>
    <col min="25" max="25" width="6.7109375" style="30" bestFit="1" customWidth="1"/>
    <col min="26" max="32" width="7" customWidth="1"/>
    <col min="33" max="33" width="8.85546875" bestFit="1" customWidth="1"/>
    <col min="34" max="34" width="7" customWidth="1"/>
    <col min="35" max="35" width="8.85546875" bestFit="1" customWidth="1"/>
    <col min="36" max="36" width="7.5703125" bestFit="1" customWidth="1"/>
    <col min="37" max="48" width="7" customWidth="1"/>
  </cols>
  <sheetData>
    <row r="1" spans="1:50" x14ac:dyDescent="0.2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3"/>
    </row>
    <row r="2" spans="1:50" ht="42" x14ac:dyDescent="0.2">
      <c r="A2" s="1" t="s">
        <v>138</v>
      </c>
      <c r="B2" s="1" t="s">
        <v>40</v>
      </c>
      <c r="C2" s="1" t="s">
        <v>148</v>
      </c>
      <c r="D2" s="1" t="s">
        <v>2</v>
      </c>
      <c r="E2" s="1" t="s">
        <v>36</v>
      </c>
      <c r="F2" s="1" t="s">
        <v>10</v>
      </c>
      <c r="G2" s="1" t="s">
        <v>51</v>
      </c>
      <c r="H2" s="2" t="s">
        <v>125</v>
      </c>
      <c r="I2" s="1" t="s">
        <v>168</v>
      </c>
      <c r="J2" s="2" t="s">
        <v>18</v>
      </c>
      <c r="K2" s="1" t="s">
        <v>167</v>
      </c>
      <c r="L2" s="1" t="s">
        <v>149</v>
      </c>
      <c r="M2" s="1" t="s">
        <v>140</v>
      </c>
      <c r="N2" s="1" t="s">
        <v>67</v>
      </c>
      <c r="O2" s="1" t="s">
        <v>14</v>
      </c>
      <c r="P2" s="1" t="s">
        <v>92</v>
      </c>
      <c r="Q2" s="1" t="s">
        <v>162</v>
      </c>
      <c r="R2" s="1" t="s">
        <v>166</v>
      </c>
      <c r="S2" s="1" t="s">
        <v>165</v>
      </c>
      <c r="T2" s="1" t="s">
        <v>82</v>
      </c>
      <c r="U2" s="1" t="s">
        <v>39</v>
      </c>
      <c r="V2" s="1" t="s">
        <v>60</v>
      </c>
      <c r="W2" s="1" t="s">
        <v>81</v>
      </c>
      <c r="X2" s="1" t="s">
        <v>28</v>
      </c>
      <c r="Y2" s="1" t="s">
        <v>143</v>
      </c>
      <c r="AA2" s="1" t="s">
        <v>40</v>
      </c>
      <c r="AB2" s="1" t="s">
        <v>148</v>
      </c>
      <c r="AC2" s="1" t="s">
        <v>2</v>
      </c>
      <c r="AD2" s="1" t="s">
        <v>36</v>
      </c>
      <c r="AE2" s="1" t="s">
        <v>10</v>
      </c>
      <c r="AF2" s="1" t="s">
        <v>51</v>
      </c>
      <c r="AG2" s="2" t="s">
        <v>125</v>
      </c>
      <c r="AH2" s="1" t="s">
        <v>168</v>
      </c>
      <c r="AI2" s="2" t="s">
        <v>18</v>
      </c>
      <c r="AJ2" s="1" t="s">
        <v>167</v>
      </c>
      <c r="AK2" s="1" t="s">
        <v>149</v>
      </c>
      <c r="AL2" s="1" t="s">
        <v>140</v>
      </c>
      <c r="AM2" s="1" t="s">
        <v>67</v>
      </c>
      <c r="AN2" s="1" t="s">
        <v>14</v>
      </c>
      <c r="AO2" s="1" t="s">
        <v>92</v>
      </c>
      <c r="AP2" s="1" t="s">
        <v>162</v>
      </c>
      <c r="AQ2" s="1" t="s">
        <v>166</v>
      </c>
      <c r="AR2" s="1" t="s">
        <v>165</v>
      </c>
      <c r="AS2" s="1" t="s">
        <v>82</v>
      </c>
      <c r="AT2" s="1" t="s">
        <v>39</v>
      </c>
      <c r="AU2" s="1" t="s">
        <v>60</v>
      </c>
      <c r="AV2" s="1" t="s">
        <v>81</v>
      </c>
      <c r="AW2" s="1" t="s">
        <v>28</v>
      </c>
      <c r="AX2" s="1" t="s">
        <v>143</v>
      </c>
    </row>
    <row r="3" spans="1:50" x14ac:dyDescent="0.2">
      <c r="A3" s="4" t="s">
        <v>226</v>
      </c>
      <c r="B3" s="22">
        <v>201.35120703640101</v>
      </c>
      <c r="C3" s="22">
        <v>208.49196207403301</v>
      </c>
      <c r="D3" s="22">
        <v>219.76826112736501</v>
      </c>
      <c r="E3" s="22">
        <v>516.66798508640704</v>
      </c>
      <c r="F3" s="22">
        <v>998.59336696037803</v>
      </c>
      <c r="G3" s="22">
        <v>984.99681730806401</v>
      </c>
      <c r="H3" s="22">
        <v>201.779463933562</v>
      </c>
      <c r="I3" s="22">
        <v>209.19940839157499</v>
      </c>
      <c r="J3" s="22">
        <v>202.53148402337601</v>
      </c>
      <c r="K3" s="22">
        <v>170.2605013873</v>
      </c>
      <c r="L3" s="22">
        <v>204.285606610201</v>
      </c>
      <c r="M3" s="22">
        <v>207.22879666882699</v>
      </c>
      <c r="N3" s="22">
        <v>214.34705239845201</v>
      </c>
      <c r="O3" s="22">
        <v>194.42847016575101</v>
      </c>
      <c r="P3" s="22">
        <v>197.43386090166101</v>
      </c>
      <c r="Q3" s="22">
        <v>207.84841558634699</v>
      </c>
      <c r="R3" s="22">
        <v>202.661182833342</v>
      </c>
      <c r="S3" s="22">
        <v>221.24602774521099</v>
      </c>
      <c r="T3" s="22">
        <v>199.42728118070499</v>
      </c>
      <c r="U3" s="22">
        <v>188.64447988505901</v>
      </c>
      <c r="V3" s="22">
        <v>206.46933154195099</v>
      </c>
      <c r="W3" s="22">
        <v>219.71606318642799</v>
      </c>
      <c r="X3" s="22">
        <v>223.883221879589</v>
      </c>
      <c r="Y3" s="22">
        <v>233.930456546378</v>
      </c>
      <c r="AA3" s="38">
        <f>B3/200*100</f>
        <v>100.6756035182005</v>
      </c>
      <c r="AB3" s="38">
        <f>C3/200*100</f>
        <v>104.24598103701651</v>
      </c>
      <c r="AC3" s="38">
        <f>D3/200*100</f>
        <v>109.88413056368252</v>
      </c>
      <c r="AD3" s="38">
        <f>E3/466.666666*100</f>
        <v>110.71456839096518</v>
      </c>
      <c r="AE3" s="38">
        <f>F3/1000*100</f>
        <v>99.859336696037801</v>
      </c>
      <c r="AF3" s="38">
        <f>G3/1000*100</f>
        <v>98.499681730806401</v>
      </c>
      <c r="AG3" s="38">
        <f>H3/200*100</f>
        <v>100.889731966781</v>
      </c>
      <c r="AH3" s="38">
        <f>I3/200*100</f>
        <v>104.5997041957875</v>
      </c>
      <c r="AI3" s="38">
        <f>J3/200*100</f>
        <v>101.265742011688</v>
      </c>
      <c r="AJ3" s="38">
        <f>K3/200*100</f>
        <v>85.130250693649998</v>
      </c>
      <c r="AK3" s="38">
        <f>L3/200*100</f>
        <v>102.1428033051005</v>
      </c>
      <c r="AL3" s="38">
        <f>M3/200*100</f>
        <v>103.61439833441351</v>
      </c>
      <c r="AM3" s="38">
        <f>N3/200*100</f>
        <v>107.173526199226</v>
      </c>
      <c r="AN3" s="38">
        <f>O3/200*100</f>
        <v>97.214235082875504</v>
      </c>
      <c r="AO3" s="38">
        <f>P3/200*100</f>
        <v>98.716930450830503</v>
      </c>
      <c r="AP3" s="38">
        <f>Q3/200*100</f>
        <v>103.92420779317348</v>
      </c>
      <c r="AQ3" s="38">
        <f>R3/200*100</f>
        <v>101.330591416671</v>
      </c>
      <c r="AR3" s="38">
        <f>S3/200*100</f>
        <v>110.6230138726055</v>
      </c>
      <c r="AS3" s="38">
        <f>T3/200*100</f>
        <v>99.713640590352497</v>
      </c>
      <c r="AT3" s="38">
        <f>U3/200*100</f>
        <v>94.322239942529507</v>
      </c>
      <c r="AU3" s="38">
        <f>V3/200*100</f>
        <v>103.23466577097548</v>
      </c>
      <c r="AV3" s="38">
        <f>W3/200*100</f>
        <v>109.85803159321399</v>
      </c>
      <c r="AW3" s="38">
        <f>X3/200*100</f>
        <v>111.94161093979451</v>
      </c>
      <c r="AX3" s="38">
        <f>Y3/200*100</f>
        <v>116.965228273189</v>
      </c>
    </row>
    <row r="4" spans="1:50" x14ac:dyDescent="0.2">
      <c r="A4" s="4" t="s">
        <v>176</v>
      </c>
      <c r="B4" s="22">
        <v>4.8777640131872797</v>
      </c>
      <c r="C4" s="22">
        <v>2.5634833762292</v>
      </c>
      <c r="D4" s="22">
        <v>4.2512014929692299</v>
      </c>
      <c r="E4" s="22">
        <v>-20.937573787191798</v>
      </c>
      <c r="F4" s="22">
        <v>12.1243795751334</v>
      </c>
      <c r="G4" s="22">
        <v>16.103190917243001</v>
      </c>
      <c r="H4" s="22">
        <v>2.7969729785184101</v>
      </c>
      <c r="I4" s="22">
        <v>2.7615665021196398</v>
      </c>
      <c r="J4" s="22">
        <v>2.7154717694554802</v>
      </c>
      <c r="K4" s="22">
        <v>2.0622665693014</v>
      </c>
      <c r="L4" s="22">
        <v>2.4207330164009302</v>
      </c>
      <c r="M4" s="22">
        <v>-8.3945496685755199</v>
      </c>
      <c r="N4" s="22">
        <v>2.4560395601338199</v>
      </c>
      <c r="O4" s="22">
        <v>1.86893730900018</v>
      </c>
      <c r="P4" s="22">
        <v>2.32094235068584</v>
      </c>
      <c r="Q4" s="22">
        <v>5.01546498452685</v>
      </c>
      <c r="R4" s="22">
        <v>-4.1053163899804996</v>
      </c>
      <c r="S4" s="22">
        <v>2.6786620746003802</v>
      </c>
      <c r="T4" s="22">
        <v>2.3061166300636202</v>
      </c>
      <c r="U4" s="22">
        <v>2.8450921963079399</v>
      </c>
      <c r="V4" s="22">
        <v>2.5197847018140598</v>
      </c>
      <c r="W4" s="22">
        <v>2.71688101589706</v>
      </c>
      <c r="X4" s="22">
        <v>2.7951010887568102</v>
      </c>
      <c r="Y4" s="22">
        <v>2.8478668149158102</v>
      </c>
      <c r="AA4" s="39"/>
      <c r="AB4" s="39"/>
      <c r="AC4" s="39"/>
      <c r="AD4" s="42" t="s">
        <v>175</v>
      </c>
      <c r="AE4" s="41"/>
      <c r="AF4" s="40"/>
      <c r="AG4" s="39">
        <f>H4/500*100</f>
        <v>0.559394595703682</v>
      </c>
      <c r="AH4" s="39">
        <f>I4/500*100</f>
        <v>0.5523133004239279</v>
      </c>
      <c r="AI4" s="39">
        <f>J4/500*100</f>
        <v>0.54309435389109606</v>
      </c>
      <c r="AJ4" s="39">
        <f>K4/500*100</f>
        <v>0.41245331386028</v>
      </c>
      <c r="AK4" s="39"/>
      <c r="AL4" s="39"/>
      <c r="AM4" s="39"/>
      <c r="AN4" s="39"/>
      <c r="AO4" s="39"/>
      <c r="AP4" s="39"/>
      <c r="AS4" s="39"/>
      <c r="AT4" s="39"/>
      <c r="AU4" s="39"/>
      <c r="AV4" s="39"/>
      <c r="AW4" s="39"/>
      <c r="AX4" s="39"/>
    </row>
    <row r="5" spans="1:50" x14ac:dyDescent="0.2">
      <c r="A5" s="4" t="s">
        <v>174</v>
      </c>
      <c r="B5" s="22">
        <v>2.8383275987279899</v>
      </c>
      <c r="C5" s="22">
        <v>0.19319698084424999</v>
      </c>
      <c r="D5" s="22">
        <v>1.90884635702817</v>
      </c>
      <c r="E5" s="22">
        <v>-16.514742934977001</v>
      </c>
      <c r="F5" s="22">
        <v>0.41024595501224698</v>
      </c>
      <c r="G5" s="22">
        <v>6.7440053196975001</v>
      </c>
      <c r="H5" s="22">
        <v>198.50449531394199</v>
      </c>
      <c r="I5" s="22">
        <v>316.04743033562499</v>
      </c>
      <c r="J5" s="22">
        <v>282.66832152180501</v>
      </c>
      <c r="K5" s="22">
        <v>338.99644922388899</v>
      </c>
      <c r="L5" s="22">
        <v>-9.3006989149843004E-4</v>
      </c>
      <c r="M5" s="22">
        <v>-12.104143431997599</v>
      </c>
      <c r="N5" s="22">
        <v>-4.2375683767921103E-3</v>
      </c>
      <c r="O5" s="22">
        <v>-0.23012139195428699</v>
      </c>
      <c r="P5" s="22">
        <v>9.5722036583450795E-3</v>
      </c>
      <c r="Q5" s="22">
        <v>2.1566141469034901</v>
      </c>
      <c r="R5" s="22">
        <v>-9.1295426956714003</v>
      </c>
      <c r="S5" s="22">
        <v>-7.8962886841508605E-3</v>
      </c>
      <c r="T5" s="22">
        <v>9.3119871628233892E-3</v>
      </c>
      <c r="U5" s="22">
        <v>0.30985972180907601</v>
      </c>
      <c r="V5" s="22">
        <v>2.08254417560796E-3</v>
      </c>
      <c r="W5" s="22">
        <v>6.6736909424146796E-3</v>
      </c>
      <c r="X5" s="22">
        <v>5.8985105641232698E-3</v>
      </c>
      <c r="Y5" s="22">
        <v>4.9651356120977196E-3</v>
      </c>
      <c r="AA5" s="39">
        <f>B5/2.5*100</f>
        <v>113.53310394911959</v>
      </c>
      <c r="AB5" s="39">
        <f>C5/2.5*100</f>
        <v>7.7278792337699995</v>
      </c>
      <c r="AC5" s="39">
        <f>D5/2.5*100</f>
        <v>76.3538542811268</v>
      </c>
      <c r="AD5" s="39">
        <f>E5/12.5*100</f>
        <v>-132.11794347981601</v>
      </c>
      <c r="AE5" s="39">
        <f>F5/12.5*100</f>
        <v>3.2819676400979754</v>
      </c>
      <c r="AF5" s="39">
        <f>G5/12.5*100</f>
        <v>53.952042557580008</v>
      </c>
      <c r="AG5" s="39">
        <f>H5/2.5*100</f>
        <v>7940.1798125576788</v>
      </c>
      <c r="AH5" s="39">
        <f>I5/2.5*100</f>
        <v>12641.897213425</v>
      </c>
      <c r="AI5" s="39">
        <f>J5/2.5*100</f>
        <v>11306.7328608722</v>
      </c>
      <c r="AJ5" s="39">
        <f>K5/2.5*100</f>
        <v>13559.857968955561</v>
      </c>
      <c r="AK5" s="39">
        <f>L5/2.5*100</f>
        <v>-3.7202795659937199E-2</v>
      </c>
      <c r="AL5" s="39">
        <f>M5/2.5*100</f>
        <v>-484.16573727990391</v>
      </c>
      <c r="AM5" s="39">
        <f>N5/2.5*100</f>
        <v>-0.1695027350716844</v>
      </c>
      <c r="AN5" s="39">
        <f>O5/2.5*100</f>
        <v>-9.2048556781714801</v>
      </c>
      <c r="AO5" s="39">
        <f>P5/2.5*100</f>
        <v>0.38288814633380319</v>
      </c>
      <c r="AP5" s="39">
        <f>Q5/2.5*100</f>
        <v>86.264565876139599</v>
      </c>
      <c r="AQ5" s="39">
        <f>R5/2.5*100</f>
        <v>-365.18170782685598</v>
      </c>
      <c r="AR5" s="39">
        <f>S5/2.5*100</f>
        <v>-0.31585154736603444</v>
      </c>
      <c r="AS5" s="39">
        <f>T5/2.5*100</f>
        <v>0.37247948651293555</v>
      </c>
      <c r="AT5" s="39">
        <f>U5/2.5*100</f>
        <v>12.394388872363042</v>
      </c>
      <c r="AU5" s="39">
        <f>V5/2.5*100</f>
        <v>8.3301767024318407E-2</v>
      </c>
      <c r="AV5" s="39">
        <f>W5/2.5*100</f>
        <v>0.26694763769658719</v>
      </c>
      <c r="AW5" s="39">
        <f>X5/2.5*100</f>
        <v>0.23594042256493081</v>
      </c>
      <c r="AX5" s="39">
        <f>Y5/2.5*100</f>
        <v>0.1986054244839088</v>
      </c>
    </row>
    <row r="6" spans="1:50" x14ac:dyDescent="0.2">
      <c r="A6" s="7" t="s">
        <v>173</v>
      </c>
      <c r="B6" s="21">
        <v>214.80243241076201</v>
      </c>
      <c r="C6" s="21">
        <v>197.25327167341101</v>
      </c>
      <c r="D6" s="21">
        <v>194.972974651312</v>
      </c>
      <c r="E6" s="21">
        <v>1073.8548076576201</v>
      </c>
      <c r="F6" s="21">
        <v>1044.59999419069</v>
      </c>
      <c r="G6" s="21">
        <v>1019.78516464501</v>
      </c>
      <c r="H6" s="21">
        <v>197.032854366208</v>
      </c>
      <c r="I6" s="21">
        <v>199.675908716902</v>
      </c>
      <c r="J6" s="21">
        <v>200.56201262571801</v>
      </c>
      <c r="K6" s="21">
        <v>181.57949756807199</v>
      </c>
      <c r="L6" s="21">
        <v>187.193546492434</v>
      </c>
      <c r="M6" s="21">
        <v>163.438747023384</v>
      </c>
      <c r="N6" s="21">
        <v>199.219747784307</v>
      </c>
      <c r="O6" s="21">
        <v>203.08770075907501</v>
      </c>
      <c r="P6" s="21">
        <v>207.851688649181</v>
      </c>
      <c r="Q6" s="21">
        <v>202.68138934278099</v>
      </c>
      <c r="R6" s="21">
        <v>166.50656806754299</v>
      </c>
      <c r="S6" s="21">
        <v>211.36815411608001</v>
      </c>
      <c r="T6" s="21">
        <v>207.36105695349301</v>
      </c>
      <c r="U6" s="21">
        <v>163.693320364507</v>
      </c>
      <c r="V6" s="21">
        <v>209.666142214529</v>
      </c>
      <c r="W6" s="21">
        <v>223.842104972524</v>
      </c>
      <c r="X6" s="21">
        <v>215.360026227584</v>
      </c>
      <c r="Y6" s="21">
        <v>209.189565075037</v>
      </c>
      <c r="AA6" s="38">
        <f>B6/200*100</f>
        <v>107.40121620538102</v>
      </c>
      <c r="AB6" s="38">
        <f>C6/200*100</f>
        <v>98.626635836705503</v>
      </c>
      <c r="AC6" s="38">
        <f>D6/200*100</f>
        <v>97.486487325656</v>
      </c>
      <c r="AD6" s="38">
        <f>E6/1000*100</f>
        <v>107.385480765762</v>
      </c>
      <c r="AE6" s="38">
        <f>F6/1000*100</f>
        <v>104.45999941906901</v>
      </c>
      <c r="AF6" s="38">
        <f>G6/1000*100</f>
        <v>101.978516464501</v>
      </c>
      <c r="AG6" s="38">
        <f>H6/200*100</f>
        <v>98.516427183104</v>
      </c>
      <c r="AH6" s="38">
        <f>I6/200*100</f>
        <v>99.837954358451</v>
      </c>
      <c r="AI6" s="38">
        <f>J6/200*100</f>
        <v>100.28100631285901</v>
      </c>
      <c r="AJ6" s="38">
        <f>K6/200*100</f>
        <v>90.789748784035993</v>
      </c>
      <c r="AK6" s="38">
        <f>L6/200*100</f>
        <v>93.596773246216998</v>
      </c>
      <c r="AL6" s="38">
        <f>M6/200*100</f>
        <v>81.719373511691998</v>
      </c>
      <c r="AM6" s="38">
        <f>N6/200*100</f>
        <v>99.609873892153502</v>
      </c>
      <c r="AN6" s="38">
        <f>O6/200*100</f>
        <v>101.5438503795375</v>
      </c>
      <c r="AO6" s="38">
        <f>P6/200*100</f>
        <v>103.92584432459051</v>
      </c>
      <c r="AP6" s="38">
        <f>Q6/200*100</f>
        <v>101.34069467139048</v>
      </c>
      <c r="AQ6" s="38">
        <f>R6/200*100</f>
        <v>83.253284033771493</v>
      </c>
      <c r="AR6" s="38">
        <f>S6/200*100</f>
        <v>105.68407705803999</v>
      </c>
      <c r="AS6" s="38">
        <f>T6/200*100</f>
        <v>103.68052847674649</v>
      </c>
      <c r="AT6" s="38">
        <f>U6/200*100</f>
        <v>81.846660182253501</v>
      </c>
      <c r="AU6" s="38">
        <f>V6/200*100</f>
        <v>104.8330711072645</v>
      </c>
      <c r="AV6" s="38">
        <f>W6/200*100</f>
        <v>111.92105248626201</v>
      </c>
      <c r="AW6" s="38">
        <f>X6/200*100</f>
        <v>107.680013113792</v>
      </c>
      <c r="AX6" s="38">
        <f>Y6/200*100</f>
        <v>104.59478253751851</v>
      </c>
    </row>
    <row r="7" spans="1:50" x14ac:dyDescent="0.2">
      <c r="A7" s="7" t="s">
        <v>172</v>
      </c>
      <c r="B7" s="21">
        <v>189.69461870654001</v>
      </c>
      <c r="C7" s="21">
        <v>176.879828955124</v>
      </c>
      <c r="D7" s="21">
        <v>192.368000476899</v>
      </c>
      <c r="E7" s="21">
        <v>1013.1464977499199</v>
      </c>
      <c r="F7" s="21">
        <v>1000.4195519152</v>
      </c>
      <c r="G7" s="21">
        <v>915.39622205505395</v>
      </c>
      <c r="H7" s="21">
        <v>201.157637032195</v>
      </c>
      <c r="I7" s="21">
        <v>216.01415099819999</v>
      </c>
      <c r="J7" s="21">
        <v>206.421322278893</v>
      </c>
      <c r="K7" s="21">
        <v>183.16241947874599</v>
      </c>
      <c r="L7" s="21">
        <v>153.80197733308901</v>
      </c>
      <c r="M7" s="21">
        <v>159.63148829833901</v>
      </c>
      <c r="N7" s="21">
        <v>199.56466663476499</v>
      </c>
      <c r="O7" s="21">
        <v>188.147703139344</v>
      </c>
      <c r="P7" s="21">
        <v>152.18284292790699</v>
      </c>
      <c r="Q7" s="21">
        <v>169.92242837106599</v>
      </c>
      <c r="R7" s="21">
        <v>161.26289748946101</v>
      </c>
      <c r="S7" s="21">
        <v>217.37441101089399</v>
      </c>
      <c r="T7" s="21">
        <v>162.88974384474901</v>
      </c>
      <c r="U7" s="21">
        <v>164.35005604893101</v>
      </c>
      <c r="V7" s="21">
        <v>209.81693347290201</v>
      </c>
      <c r="W7" s="21">
        <v>184.98344525847301</v>
      </c>
      <c r="X7" s="21">
        <v>182.39253239462499</v>
      </c>
      <c r="Y7" s="21">
        <v>197.94293742596901</v>
      </c>
      <c r="AA7" s="38">
        <f>B7/200*100</f>
        <v>94.847309353270006</v>
      </c>
      <c r="AB7" s="38">
        <f>C7/200*100</f>
        <v>88.439914477561999</v>
      </c>
      <c r="AC7" s="38">
        <f>D7/200*100</f>
        <v>96.184000238449499</v>
      </c>
      <c r="AD7" s="38">
        <f>E7/1000*100</f>
        <v>101.31464977499201</v>
      </c>
      <c r="AE7" s="38">
        <f>F7/1000*100</f>
        <v>100.04195519151999</v>
      </c>
      <c r="AF7" s="38">
        <f>G7/1000*100</f>
        <v>91.539622205505395</v>
      </c>
      <c r="AG7" s="38">
        <f>H7/200*100</f>
        <v>100.57881851609748</v>
      </c>
      <c r="AH7" s="38">
        <f>I7/200*100</f>
        <v>108.0070754991</v>
      </c>
      <c r="AI7" s="38">
        <f>J7/200*100</f>
        <v>103.2106611394465</v>
      </c>
      <c r="AJ7" s="38">
        <f>K7/200*100</f>
        <v>91.581209739372994</v>
      </c>
      <c r="AK7" s="38">
        <f>L7/200*100</f>
        <v>76.900988666544507</v>
      </c>
      <c r="AL7" s="38">
        <f>M7/200*100</f>
        <v>79.815744149169504</v>
      </c>
      <c r="AM7" s="38">
        <f>N7/200*100</f>
        <v>99.782333317382495</v>
      </c>
      <c r="AN7" s="38">
        <f>O7/200*100</f>
        <v>94.073851569672001</v>
      </c>
      <c r="AO7" s="38">
        <f>P7/200*100</f>
        <v>76.091421463953495</v>
      </c>
      <c r="AP7" s="38">
        <f>Q7/200*100</f>
        <v>84.961214185532995</v>
      </c>
      <c r="AQ7" s="38">
        <f>R7/200*100</f>
        <v>80.631448744730505</v>
      </c>
      <c r="AR7" s="38">
        <f>S7/200*100</f>
        <v>108.687205505447</v>
      </c>
      <c r="AS7" s="38">
        <f>T7/200*100</f>
        <v>81.444871922374503</v>
      </c>
      <c r="AT7" s="38">
        <f>U7/200*100</f>
        <v>82.175028024465504</v>
      </c>
      <c r="AU7" s="38">
        <f>V7/200*100</f>
        <v>104.908466736451</v>
      </c>
      <c r="AV7" s="38">
        <f>W7/200*100</f>
        <v>92.491722629236506</v>
      </c>
      <c r="AW7" s="38">
        <f>X7/200*100</f>
        <v>91.196266197312497</v>
      </c>
      <c r="AX7" s="38">
        <f>Y7/200*100</f>
        <v>98.971468712984503</v>
      </c>
    </row>
    <row r="8" spans="1:50" x14ac:dyDescent="0.2">
      <c r="A8" s="7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37"/>
      <c r="S8" s="37"/>
      <c r="T8" s="22"/>
      <c r="U8" s="22"/>
      <c r="V8" s="22"/>
      <c r="W8" s="22"/>
      <c r="X8" s="22"/>
      <c r="Y8" s="22"/>
    </row>
    <row r="9" spans="1:50" x14ac:dyDescent="0.2">
      <c r="A9" s="7" t="s">
        <v>13</v>
      </c>
      <c r="B9" s="21">
        <v>0.72817532793739603</v>
      </c>
      <c r="C9" s="21">
        <v>0.64600250885750099</v>
      </c>
      <c r="D9" s="21">
        <v>0.66266984523940298</v>
      </c>
      <c r="E9" s="21">
        <v>-92.271239171231599</v>
      </c>
      <c r="F9" s="21">
        <v>4.7131405723470499</v>
      </c>
      <c r="G9" s="21">
        <v>8.8321426801833791</v>
      </c>
      <c r="H9" s="21">
        <v>0.91160427558778501</v>
      </c>
      <c r="I9" s="21">
        <v>-0.109083437891057</v>
      </c>
      <c r="J9" s="21">
        <v>0.49525970064054697</v>
      </c>
      <c r="K9" s="21">
        <v>-1.0953176916893499</v>
      </c>
      <c r="L9" s="21">
        <v>0.679084841692699</v>
      </c>
      <c r="M9" s="21">
        <v>-12.8851159355367</v>
      </c>
      <c r="N9" s="21">
        <v>0.90040427358274699</v>
      </c>
      <c r="O9" s="21">
        <v>1.44917319091505</v>
      </c>
      <c r="P9" s="21">
        <v>0.72937303973685796</v>
      </c>
      <c r="Q9" s="21">
        <v>6.59601864369352E-2</v>
      </c>
      <c r="R9" s="21">
        <v>-5.77408078433991</v>
      </c>
      <c r="S9" s="21">
        <v>1.06905440728709</v>
      </c>
      <c r="T9" s="21">
        <v>0.63287850603642704</v>
      </c>
      <c r="U9" s="21">
        <v>2.3965791377187098</v>
      </c>
      <c r="V9" s="21">
        <v>0.76701471776810903</v>
      </c>
      <c r="W9" s="21">
        <v>0.83667089552602403</v>
      </c>
      <c r="X9" s="21">
        <v>0.79055322387961202</v>
      </c>
      <c r="Y9" s="21">
        <v>0.88849536900485804</v>
      </c>
    </row>
    <row r="10" spans="1:50" x14ac:dyDescent="0.2">
      <c r="A10" s="7" t="s">
        <v>171</v>
      </c>
      <c r="B10" s="21">
        <v>0.18537646807377101</v>
      </c>
      <c r="C10" s="21">
        <v>-4.3032849896293603E-3</v>
      </c>
      <c r="D10" s="21">
        <v>-0.13838948707604301</v>
      </c>
      <c r="E10" s="21">
        <v>-57.582033680049399</v>
      </c>
      <c r="F10" s="21">
        <v>0.74078926666594203</v>
      </c>
      <c r="G10" s="21">
        <v>6.4833835636294497</v>
      </c>
      <c r="H10" s="21">
        <v>-0.64226527370890196</v>
      </c>
      <c r="I10" s="21">
        <v>-1.4754888385242499</v>
      </c>
      <c r="J10" s="21">
        <v>-1.38669229133351</v>
      </c>
      <c r="K10" s="21">
        <v>-1.9391789549059</v>
      </c>
      <c r="L10" s="21">
        <v>6.0200045172007404E-3</v>
      </c>
      <c r="M10" s="21">
        <v>-16.725085367125001</v>
      </c>
      <c r="N10" s="21">
        <v>9.2482873310171902E-3</v>
      </c>
      <c r="O10" s="21">
        <v>0.36831538457699398</v>
      </c>
      <c r="P10" s="21">
        <v>2.4621482796869501E-2</v>
      </c>
      <c r="Q10" s="21">
        <v>-0.76327001248564597</v>
      </c>
      <c r="R10" s="21">
        <v>-8.7524358448930801</v>
      </c>
      <c r="S10" s="21">
        <v>5.2245352184304997E-2</v>
      </c>
      <c r="T10" s="21">
        <v>1.2776351092837999E-2</v>
      </c>
      <c r="U10" s="21">
        <v>0.52510260092878802</v>
      </c>
      <c r="V10" s="21">
        <v>1.2495296305826201E-2</v>
      </c>
      <c r="W10" s="21">
        <v>2.68726118881937E-2</v>
      </c>
      <c r="X10" s="21">
        <v>2.4996761200013599E-2</v>
      </c>
      <c r="Y10" s="21">
        <v>2.6740116086582898E-2</v>
      </c>
    </row>
    <row r="11" spans="1:50" x14ac:dyDescent="0.2">
      <c r="A11" s="4" t="s">
        <v>142</v>
      </c>
      <c r="B11" s="22">
        <v>0.79457588515486199</v>
      </c>
      <c r="C11" s="22">
        <v>0.57487123674421003</v>
      </c>
      <c r="D11" s="22">
        <v>0.49561488534028902</v>
      </c>
      <c r="E11" s="22">
        <v>-38.967048277127297</v>
      </c>
      <c r="F11" s="22">
        <v>4.2368085096616497</v>
      </c>
      <c r="G11" s="22">
        <v>8.8980450122976897</v>
      </c>
      <c r="H11" s="22">
        <v>0.95304055959663303</v>
      </c>
      <c r="I11" s="22">
        <v>-0.61431106597740304</v>
      </c>
      <c r="J11" s="22">
        <v>7.5141704935206305E-2</v>
      </c>
      <c r="K11" s="22">
        <v>-1.7715214097035901</v>
      </c>
      <c r="L11" s="22">
        <v>0.611857276812523</v>
      </c>
      <c r="M11" s="22">
        <v>-16.082384597451899</v>
      </c>
      <c r="N11" s="22">
        <v>0.75335151543475898</v>
      </c>
      <c r="O11" s="22">
        <v>1.1796372092841401</v>
      </c>
      <c r="P11" s="22">
        <v>0.66533123996020305</v>
      </c>
      <c r="Q11" s="22">
        <v>-0.112080483503556</v>
      </c>
      <c r="R11" s="22">
        <v>-7.5288819923540098</v>
      </c>
      <c r="S11" s="22">
        <v>0.86093296952655496</v>
      </c>
      <c r="T11" s="22">
        <v>0.589661936363017</v>
      </c>
      <c r="U11" s="22">
        <v>2.0469624049547401</v>
      </c>
      <c r="V11" s="22">
        <v>0.71354163170391605</v>
      </c>
      <c r="W11" s="22">
        <v>0.76882576300203598</v>
      </c>
      <c r="X11" s="22">
        <v>0.72268034790888602</v>
      </c>
      <c r="Y11" s="22">
        <v>0.76164456920895296</v>
      </c>
    </row>
    <row r="12" spans="1:50" x14ac:dyDescent="0.2">
      <c r="A12" s="4" t="s">
        <v>71</v>
      </c>
      <c r="B12" s="22">
        <v>0.75451796517397496</v>
      </c>
      <c r="C12" s="22">
        <v>0.65547441967890496</v>
      </c>
      <c r="D12" s="22">
        <v>0.59325209019493597</v>
      </c>
      <c r="E12" s="22">
        <v>-127.877621567251</v>
      </c>
      <c r="F12" s="22">
        <v>3.84299401019388</v>
      </c>
      <c r="G12" s="22">
        <v>7.5079451535665598</v>
      </c>
      <c r="H12" s="22">
        <v>0.80801247785049901</v>
      </c>
      <c r="I12" s="22">
        <v>-1.7740300046191999</v>
      </c>
      <c r="J12" s="22">
        <v>0.32447904177001002</v>
      </c>
      <c r="K12" s="22">
        <v>1.1564022520400401</v>
      </c>
      <c r="L12" s="22">
        <v>0.55412428590192397</v>
      </c>
      <c r="M12" s="22">
        <v>-15.6938120931196</v>
      </c>
      <c r="N12" s="22">
        <v>0.72262221660862203</v>
      </c>
      <c r="O12" s="22">
        <v>0.46597718172650798</v>
      </c>
      <c r="P12" s="22">
        <v>0.57147721441657995</v>
      </c>
      <c r="Q12" s="22">
        <v>-0.695648050750029</v>
      </c>
      <c r="R12" s="22">
        <v>-10.6771887508062</v>
      </c>
      <c r="S12" s="22">
        <v>0.96622254556626297</v>
      </c>
      <c r="T12" s="22">
        <v>0.59050913968152796</v>
      </c>
      <c r="U12" s="22">
        <v>2.0928346232174699</v>
      </c>
      <c r="V12" s="22">
        <v>0.77078300385481802</v>
      </c>
      <c r="W12" s="22">
        <v>0.79174563688630895</v>
      </c>
      <c r="X12" s="22">
        <v>0.79480067198996396</v>
      </c>
      <c r="Y12" s="22">
        <v>0.85852024618380796</v>
      </c>
    </row>
    <row r="13" spans="1:50" x14ac:dyDescent="0.2">
      <c r="A13" s="25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21"/>
      <c r="R13"/>
      <c r="S13"/>
      <c r="T13" s="21"/>
      <c r="U13" s="21"/>
      <c r="V13" s="34"/>
      <c r="W13" s="34"/>
      <c r="X13" s="34"/>
      <c r="Y13" s="21"/>
    </row>
    <row r="14" spans="1:50" x14ac:dyDescent="0.2">
      <c r="A14" s="36" t="s">
        <v>169</v>
      </c>
      <c r="B14" s="35">
        <f>AVERAGE(B9:B12)</f>
        <v>0.61566141158500098</v>
      </c>
      <c r="C14" s="35">
        <f>AVERAGE(C9:C12)</f>
        <v>0.46801122007274665</v>
      </c>
      <c r="D14" s="35">
        <f>AVERAGE(D9:D12)</f>
        <v>0.40328683342464622</v>
      </c>
      <c r="E14" s="35">
        <f>AVERAGE(E9:E12)</f>
        <v>-79.17448567391483</v>
      </c>
      <c r="F14" s="35">
        <f>AVERAGE(F9:F12)</f>
        <v>3.3834330897171307</v>
      </c>
      <c r="G14" s="35">
        <f>AVERAGE(G9:G12)</f>
        <v>7.9303791024192698</v>
      </c>
      <c r="H14" s="35">
        <f>AVERAGE(H9:H12)</f>
        <v>0.50759800983150372</v>
      </c>
      <c r="I14" s="35">
        <f>AVERAGE(I9:I12)</f>
        <v>-0.9932283367529775</v>
      </c>
      <c r="J14" s="35">
        <f>AVERAGE(J9:J12)</f>
        <v>-0.12295296099693666</v>
      </c>
      <c r="K14" s="35">
        <f>AVERAGE(K9:K12)</f>
        <v>-0.91240395106469996</v>
      </c>
      <c r="L14" s="35">
        <f>AVERAGE(L9:L12)</f>
        <v>0.46277160223108665</v>
      </c>
      <c r="M14" s="35">
        <f>AVERAGE(M9:M12)</f>
        <v>-15.346599498308301</v>
      </c>
      <c r="N14" s="35">
        <f>AVERAGE(N9:N12)</f>
        <v>0.59640657323928625</v>
      </c>
      <c r="O14" s="35">
        <f>AVERAGE(O9:O12)</f>
        <v>0.86577574162567306</v>
      </c>
      <c r="P14" s="35">
        <f>AVERAGE(P9:P12)</f>
        <v>0.49770074422762756</v>
      </c>
      <c r="Q14" s="35">
        <f>AVERAGE(Q9:Q12)</f>
        <v>-0.37625959007557397</v>
      </c>
      <c r="R14" s="35">
        <f>AVERAGE(R9:R12)</f>
        <v>-8.1831468430982994</v>
      </c>
      <c r="S14" s="35">
        <f>AVERAGE(S9:S12)</f>
        <v>0.73711381864105319</v>
      </c>
      <c r="T14" s="35">
        <f>AVERAGE(T9:T12)</f>
        <v>0.45645648329345256</v>
      </c>
      <c r="U14" s="35">
        <f>AVERAGE(U9:U12)</f>
        <v>1.7653696917049269</v>
      </c>
      <c r="V14" s="35">
        <f>AVERAGE(V9:V12)</f>
        <v>0.56595866240816739</v>
      </c>
      <c r="W14" s="35">
        <f>AVERAGE(W9:W12)</f>
        <v>0.60602872682564057</v>
      </c>
      <c r="X14" s="35">
        <f>AVERAGE(X9:X12)</f>
        <v>0.58325775124461887</v>
      </c>
      <c r="Y14" s="35">
        <f>AVERAGE(Y9:Y12)</f>
        <v>0.63385007512105052</v>
      </c>
    </row>
    <row r="15" spans="1:50" x14ac:dyDescent="0.2">
      <c r="A15" s="25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21"/>
      <c r="R15" s="21"/>
      <c r="S15" s="21"/>
      <c r="T15" s="21"/>
      <c r="U15" s="21"/>
      <c r="V15" s="34"/>
      <c r="W15" s="34"/>
      <c r="X15" s="34"/>
      <c r="Y15" s="21"/>
    </row>
    <row r="16" spans="1:50" x14ac:dyDescent="0.2">
      <c r="A16" s="4" t="s">
        <v>170</v>
      </c>
      <c r="B16" s="21">
        <v>218.020226287556</v>
      </c>
      <c r="C16" s="21">
        <v>98.535245580374294</v>
      </c>
      <c r="D16" s="21">
        <v>30.613439395591499</v>
      </c>
      <c r="E16" s="21">
        <v>488.159069627718</v>
      </c>
      <c r="F16" s="21">
        <v>18.357994354214899</v>
      </c>
      <c r="G16" s="21">
        <v>14430.195544366101</v>
      </c>
      <c r="H16" s="21">
        <v>315.13528427227902</v>
      </c>
      <c r="I16" s="21">
        <v>331.91336123913902</v>
      </c>
      <c r="J16" s="21">
        <v>449.70634705107699</v>
      </c>
      <c r="K16" s="21">
        <v>366.72034388781401</v>
      </c>
      <c r="L16" s="21">
        <v>4.8767506780329697</v>
      </c>
      <c r="M16" s="21">
        <v>-6.55147117776239</v>
      </c>
      <c r="N16" s="21">
        <v>-3.1838260816581601E-2</v>
      </c>
      <c r="O16" s="21">
        <v>-6.7672428576186903</v>
      </c>
      <c r="P16" s="21">
        <v>0.19146092384697699</v>
      </c>
      <c r="Q16" s="21">
        <v>0.66896951368804902</v>
      </c>
      <c r="R16" s="21">
        <v>-17.370519117324601</v>
      </c>
      <c r="S16" s="21">
        <v>4.6194052912821498E-2</v>
      </c>
      <c r="T16" s="21">
        <v>2.2855278961645</v>
      </c>
      <c r="U16" s="21">
        <v>0.11326242419614201</v>
      </c>
      <c r="V16" s="21">
        <v>1.52720391168758E-2</v>
      </c>
      <c r="W16" s="21">
        <v>3.1310058754446701E-2</v>
      </c>
      <c r="X16" s="21">
        <v>3.2792922670326297E-2</v>
      </c>
      <c r="Y16" s="21">
        <v>3.4757357846275601E-2</v>
      </c>
    </row>
    <row r="17" spans="1:25" x14ac:dyDescent="0.2">
      <c r="A17" s="4" t="s">
        <v>170</v>
      </c>
      <c r="B17" s="22">
        <v>94.774596313860101</v>
      </c>
      <c r="C17" s="22">
        <v>13.4435411437771</v>
      </c>
      <c r="D17" s="22">
        <v>27.674761848016601</v>
      </c>
      <c r="E17" s="22">
        <v>454.31385217725</v>
      </c>
      <c r="F17" s="22">
        <v>5.0235891305469904</v>
      </c>
      <c r="G17" s="22">
        <v>15775.9520963015</v>
      </c>
      <c r="H17" s="22">
        <v>41.915000450146003</v>
      </c>
      <c r="I17" s="22">
        <v>54.398778682081897</v>
      </c>
      <c r="J17" s="22">
        <v>63.786612522612003</v>
      </c>
      <c r="K17" s="22">
        <v>78.916740748595501</v>
      </c>
      <c r="L17" s="22">
        <v>2.5182222835087198</v>
      </c>
      <c r="M17" s="22">
        <v>-26.671912168085399</v>
      </c>
      <c r="N17" s="22">
        <v>-3.5760665989975703E-2</v>
      </c>
      <c r="O17" s="22">
        <v>-6.7795129265010603</v>
      </c>
      <c r="P17" s="22">
        <v>0.21263215761530099</v>
      </c>
      <c r="Q17" s="22">
        <v>0.30664186877455901</v>
      </c>
      <c r="R17" s="22">
        <v>-20.287618838109001</v>
      </c>
      <c r="S17" s="22">
        <v>5.8417502650601097E-2</v>
      </c>
      <c r="T17" s="22">
        <v>0.33619387475864998</v>
      </c>
      <c r="U17" s="22">
        <v>9.1517833917105093E-2</v>
      </c>
      <c r="V17" s="22">
        <v>1.1106927954727499E-2</v>
      </c>
      <c r="W17" s="22">
        <v>3.2907541523862202E-2</v>
      </c>
      <c r="X17" s="22">
        <v>2.9492956780338701E-2</v>
      </c>
      <c r="Y17" s="22">
        <v>2.9188373356646601E-2</v>
      </c>
    </row>
    <row r="19" spans="1:25" x14ac:dyDescent="0.2">
      <c r="A19" s="33" t="s">
        <v>169</v>
      </c>
      <c r="B19" s="32">
        <f>AVERAGE(B16:B17)</f>
        <v>156.39741130070806</v>
      </c>
      <c r="C19" s="32">
        <f>AVERAGE(C16:C17)</f>
        <v>55.989393362075695</v>
      </c>
      <c r="D19" s="32">
        <f>AVERAGE(D16:D17)</f>
        <v>29.14410062180405</v>
      </c>
      <c r="E19" s="32">
        <f>AVERAGE(E16:E17)</f>
        <v>471.236460902484</v>
      </c>
      <c r="F19" s="32">
        <f>AVERAGE(F16:F17)</f>
        <v>11.690791742380945</v>
      </c>
      <c r="G19" s="32">
        <f>AVERAGE(G16:G17)</f>
        <v>15103.073820333801</v>
      </c>
      <c r="H19" s="32">
        <f>AVERAGE(H16:H17)</f>
        <v>178.52514236121252</v>
      </c>
      <c r="I19" s="32">
        <f>AVERAGE(I16:I17)</f>
        <v>193.15606996061047</v>
      </c>
      <c r="J19" s="32">
        <f>AVERAGE(J16:J17)</f>
        <v>256.74647978684447</v>
      </c>
      <c r="K19" s="32">
        <f>AVERAGE(K16:K17)</f>
        <v>222.81854231820475</v>
      </c>
      <c r="L19" s="32">
        <f>AVERAGE(L16:L17)</f>
        <v>3.697486480770845</v>
      </c>
      <c r="M19" s="32">
        <f>AVERAGE(M16:M17)</f>
        <v>-16.611691672923893</v>
      </c>
      <c r="N19" s="32">
        <f>AVERAGE(N16:N17)</f>
        <v>-3.3799463403278648E-2</v>
      </c>
      <c r="O19" s="32">
        <f>AVERAGE(O16:O17)</f>
        <v>-6.7733778920598748</v>
      </c>
      <c r="P19" s="32">
        <f>AVERAGE(P16:P17)</f>
        <v>0.20204654073113898</v>
      </c>
      <c r="Q19" s="32">
        <f>AVERAGE(Q16:Q17)</f>
        <v>0.48780569123130402</v>
      </c>
      <c r="R19" s="32">
        <f>AVERAGE(R16:R17)</f>
        <v>-18.829068977716801</v>
      </c>
      <c r="S19" s="32">
        <f>AVERAGE(S16:S17)</f>
        <v>5.2305777781711298E-2</v>
      </c>
      <c r="T19" s="32">
        <f>AVERAGE(T16:T17)</f>
        <v>1.3108608854615751</v>
      </c>
      <c r="U19" s="32">
        <f>AVERAGE(U16:U17)</f>
        <v>0.10239012905662355</v>
      </c>
      <c r="V19" s="32">
        <f>AVERAGE(V16:V17)</f>
        <v>1.318948353580165E-2</v>
      </c>
      <c r="W19" s="32">
        <f>AVERAGE(W16:W17)</f>
        <v>3.2108800139154452E-2</v>
      </c>
      <c r="X19" s="32">
        <f>AVERAGE(X16:X17)</f>
        <v>3.1142939725332497E-2</v>
      </c>
      <c r="Y19" s="32">
        <f>AVERAGE(Y16:Y17)</f>
        <v>3.1972865601461099E-2</v>
      </c>
    </row>
  </sheetData>
  <mergeCells count="3">
    <mergeCell ref="A1:Y1"/>
    <mergeCell ref="Z1:AW1"/>
    <mergeCell ref="AD4:AE4"/>
  </mergeCells>
  <conditionalFormatting sqref="AA3:AH3 AJ3:AX3 AI3:AI4 AG4:AH4 AJ4 AA6:AX7">
    <cfRule type="cellIs" dxfId="168" priority="3" operator="lessThan">
      <formula>84</formula>
    </cfRule>
    <cfRule type="cellIs" dxfId="167" priority="4" operator="greaterThan">
      <formula>116</formula>
    </cfRule>
  </conditionalFormatting>
  <conditionalFormatting sqref="AA5:AX5">
    <cfRule type="cellIs" dxfId="166" priority="1" operator="greaterThan">
      <formula>146</formula>
    </cfRule>
    <cfRule type="cellIs" dxfId="165" priority="2" operator="lessThan">
      <formula>44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F97A-F657-4C5A-8763-675D7C9D496C}">
  <dimension ref="A1:BW12"/>
  <sheetViews>
    <sheetView topLeftCell="W1" zoomScaleNormal="100" workbookViewId="0">
      <selection activeCell="AJ1" sqref="AJ1:AJ1048576"/>
    </sheetView>
  </sheetViews>
  <sheetFormatPr defaultRowHeight="12.75" x14ac:dyDescent="0.2"/>
  <cols>
    <col min="1" max="1" width="19.28515625" style="46" bestFit="1" customWidth="1"/>
    <col min="2" max="2" width="8.28515625" style="46" bestFit="1" customWidth="1"/>
    <col min="3" max="3" width="8.42578125" style="46" bestFit="1" customWidth="1"/>
    <col min="4" max="4" width="7.85546875" style="46" bestFit="1" customWidth="1"/>
    <col min="5" max="5" width="8.85546875" style="46" bestFit="1" customWidth="1"/>
    <col min="6" max="9" width="8.28515625" style="46" bestFit="1" customWidth="1"/>
    <col min="10" max="10" width="8.28515625" style="46" customWidth="1"/>
    <col min="11" max="11" width="8.28515625" style="46" bestFit="1" customWidth="1"/>
    <col min="12" max="12" width="7.28515625" style="46" bestFit="1" customWidth="1"/>
    <col min="13" max="13" width="7.7109375" style="46" bestFit="1" customWidth="1"/>
    <col min="14" max="17" width="7.140625" style="46" bestFit="1" customWidth="1"/>
    <col min="18" max="18" width="6.85546875" style="46" bestFit="1" customWidth="1"/>
    <col min="19" max="19" width="9" style="46" customWidth="1"/>
    <col min="20" max="21" width="7.140625" style="46" bestFit="1" customWidth="1"/>
    <col min="22" max="22" width="7.42578125" style="46" bestFit="1" customWidth="1"/>
    <col min="23" max="23" width="7.28515625" style="46" bestFit="1" customWidth="1"/>
    <col min="24" max="25" width="8" style="46" bestFit="1" customWidth="1"/>
    <col min="26" max="26" width="17.28515625" style="47" customWidth="1"/>
    <col min="27" max="27" width="8.7109375" style="47" bestFit="1" customWidth="1"/>
    <col min="28" max="28" width="8.7109375" style="47" customWidth="1"/>
    <col min="29" max="29" width="8" style="47" customWidth="1"/>
    <col min="30" max="30" width="8.85546875" style="47" customWidth="1"/>
    <col min="31" max="31" width="9" style="47" customWidth="1"/>
    <col min="32" max="32" width="8.42578125" style="47" customWidth="1"/>
    <col min="33" max="33" width="8.5703125" style="47" customWidth="1"/>
    <col min="34" max="34" width="8.42578125" style="47" customWidth="1"/>
    <col min="35" max="36" width="8.7109375" style="47" customWidth="1"/>
    <col min="37" max="37" width="8" style="47" customWidth="1"/>
    <col min="38" max="38" width="8.140625" style="47" customWidth="1"/>
    <col min="39" max="39" width="8.42578125" style="47" customWidth="1"/>
    <col min="40" max="40" width="8.7109375" style="47" customWidth="1"/>
    <col min="41" max="41" width="8.42578125" style="47" customWidth="1"/>
    <col min="42" max="42" width="8.28515625" style="47" customWidth="1"/>
    <col min="43" max="43" width="8.140625" style="47" customWidth="1"/>
    <col min="44" max="45" width="9.140625" style="46"/>
    <col min="46" max="46" width="8.140625" style="47" customWidth="1"/>
    <col min="47" max="49" width="7.85546875" style="47" bestFit="1" customWidth="1"/>
    <col min="50" max="16384" width="9.140625" style="46"/>
  </cols>
  <sheetData>
    <row r="1" spans="1:75" ht="42" x14ac:dyDescent="0.2">
      <c r="A1" s="69" t="s">
        <v>138</v>
      </c>
      <c r="B1" s="69" t="s">
        <v>40</v>
      </c>
      <c r="C1" s="69" t="s">
        <v>148</v>
      </c>
      <c r="D1" s="72" t="s">
        <v>2</v>
      </c>
      <c r="E1" s="71" t="s">
        <v>36</v>
      </c>
      <c r="F1" s="70" t="s">
        <v>10</v>
      </c>
      <c r="G1" s="69" t="s">
        <v>51</v>
      </c>
      <c r="H1" s="2" t="s">
        <v>125</v>
      </c>
      <c r="I1" s="69" t="s">
        <v>168</v>
      </c>
      <c r="J1" s="2" t="s">
        <v>18</v>
      </c>
      <c r="K1" s="69" t="s">
        <v>167</v>
      </c>
      <c r="L1" s="69" t="s">
        <v>149</v>
      </c>
      <c r="M1" s="69" t="s">
        <v>140</v>
      </c>
      <c r="N1" s="69" t="s">
        <v>67</v>
      </c>
      <c r="O1" s="69" t="s">
        <v>14</v>
      </c>
      <c r="P1" s="69" t="s">
        <v>92</v>
      </c>
      <c r="Q1" s="69" t="s">
        <v>162</v>
      </c>
      <c r="R1" s="69" t="s">
        <v>166</v>
      </c>
      <c r="S1" s="69" t="s">
        <v>165</v>
      </c>
      <c r="T1" s="69" t="s">
        <v>82</v>
      </c>
      <c r="U1" s="69" t="s">
        <v>39</v>
      </c>
      <c r="V1" s="69" t="s">
        <v>60</v>
      </c>
      <c r="W1" s="69" t="s">
        <v>81</v>
      </c>
      <c r="X1" s="69" t="s">
        <v>28</v>
      </c>
      <c r="Y1" s="69" t="s">
        <v>143</v>
      </c>
      <c r="Z1" s="68"/>
      <c r="AA1" s="63" t="s">
        <v>138</v>
      </c>
      <c r="AB1" s="63" t="s">
        <v>223</v>
      </c>
      <c r="AC1" s="63" t="s">
        <v>222</v>
      </c>
      <c r="AD1" s="67" t="s">
        <v>221</v>
      </c>
      <c r="AE1" s="66" t="s">
        <v>220</v>
      </c>
      <c r="AF1" s="65" t="s">
        <v>219</v>
      </c>
      <c r="AG1" s="63" t="s">
        <v>218</v>
      </c>
      <c r="AH1" s="64" t="s">
        <v>217</v>
      </c>
      <c r="AI1" s="63" t="s">
        <v>216</v>
      </c>
      <c r="AJ1" s="64" t="s">
        <v>215</v>
      </c>
      <c r="AK1" s="63" t="s">
        <v>214</v>
      </c>
      <c r="AL1" s="63" t="s">
        <v>213</v>
      </c>
      <c r="AM1" s="63" t="s">
        <v>212</v>
      </c>
      <c r="AN1" s="63" t="s">
        <v>211</v>
      </c>
      <c r="AO1" s="63" t="s">
        <v>210</v>
      </c>
      <c r="AP1" s="63" t="s">
        <v>209</v>
      </c>
      <c r="AQ1" s="63" t="s">
        <v>208</v>
      </c>
      <c r="AR1" s="63" t="s">
        <v>19</v>
      </c>
      <c r="AS1" s="63" t="s">
        <v>15</v>
      </c>
      <c r="AT1" s="63" t="s">
        <v>207</v>
      </c>
      <c r="AU1" s="63" t="s">
        <v>206</v>
      </c>
      <c r="AV1" s="63" t="s">
        <v>205</v>
      </c>
      <c r="AW1" s="63" t="s">
        <v>204</v>
      </c>
      <c r="AX1" s="63" t="s">
        <v>203</v>
      </c>
      <c r="AY1" s="63" t="s">
        <v>202</v>
      </c>
      <c r="BA1" s="61" t="s">
        <v>201</v>
      </c>
      <c r="BB1" s="60" t="s">
        <v>200</v>
      </c>
      <c r="BC1" s="60" t="s">
        <v>199</v>
      </c>
      <c r="BD1" s="62" t="s">
        <v>198</v>
      </c>
      <c r="BE1" s="60" t="s">
        <v>197</v>
      </c>
      <c r="BF1" s="60" t="s">
        <v>196</v>
      </c>
      <c r="BG1" s="60" t="s">
        <v>195</v>
      </c>
      <c r="BH1" s="60" t="s">
        <v>194</v>
      </c>
      <c r="BI1" s="60" t="s">
        <v>193</v>
      </c>
      <c r="BJ1" s="60" t="s">
        <v>192</v>
      </c>
      <c r="BK1" s="60" t="s">
        <v>191</v>
      </c>
      <c r="BL1" s="60" t="s">
        <v>190</v>
      </c>
      <c r="BM1" s="60" t="s">
        <v>189</v>
      </c>
      <c r="BN1" s="60" t="s">
        <v>188</v>
      </c>
      <c r="BO1" s="60" t="s">
        <v>187</v>
      </c>
      <c r="BP1" s="61" t="s">
        <v>19</v>
      </c>
      <c r="BQ1" s="60" t="s">
        <v>186</v>
      </c>
      <c r="BR1" s="60" t="s">
        <v>185</v>
      </c>
      <c r="BS1" s="60" t="s">
        <v>184</v>
      </c>
      <c r="BT1" s="60" t="s">
        <v>183</v>
      </c>
      <c r="BU1" s="60" t="s">
        <v>182</v>
      </c>
      <c r="BV1" s="60" t="s">
        <v>181</v>
      </c>
      <c r="BW1" s="60" t="s">
        <v>180</v>
      </c>
    </row>
    <row r="2" spans="1:75" ht="12.75" customHeight="1" thickBot="1" x14ac:dyDescent="0.25">
      <c r="A2" s="59" t="s">
        <v>179</v>
      </c>
      <c r="B2" s="35">
        <v>0.61566141158500098</v>
      </c>
      <c r="C2" s="35">
        <v>0.46801122007274665</v>
      </c>
      <c r="D2" s="35">
        <v>0.40328683342464622</v>
      </c>
      <c r="E2" s="35">
        <v>-79.17448567391483</v>
      </c>
      <c r="F2" s="35">
        <v>3.3834330897171307</v>
      </c>
      <c r="G2" s="35">
        <v>7.9303791024192698</v>
      </c>
      <c r="H2" s="35">
        <v>0.50759800983150372</v>
      </c>
      <c r="I2" s="35">
        <v>-0.9932283367529775</v>
      </c>
      <c r="J2" s="35">
        <v>-0.12295296099693666</v>
      </c>
      <c r="K2" s="35">
        <v>-0.91240395106469996</v>
      </c>
      <c r="L2" s="35">
        <v>0.46277160223108665</v>
      </c>
      <c r="M2" s="35">
        <v>-15.346599498308301</v>
      </c>
      <c r="N2" s="35">
        <v>0.59640657323928625</v>
      </c>
      <c r="O2" s="35">
        <v>0.86577574162567306</v>
      </c>
      <c r="P2" s="35">
        <v>0.49770074422762756</v>
      </c>
      <c r="Q2" s="35">
        <v>-0.37625959007557397</v>
      </c>
      <c r="R2" s="35">
        <v>-8.1831468430982994</v>
      </c>
      <c r="S2" s="35">
        <v>0.73711381864105319</v>
      </c>
      <c r="T2" s="35">
        <v>0.45645648329345256</v>
      </c>
      <c r="U2" s="35">
        <v>1.7653696917049269</v>
      </c>
      <c r="V2" s="35">
        <v>0.56595866240816739</v>
      </c>
      <c r="W2" s="35">
        <v>0.60602872682564057</v>
      </c>
      <c r="X2" s="35">
        <v>0.58325775124461887</v>
      </c>
      <c r="Y2" s="35">
        <v>0.63385007512105052</v>
      </c>
      <c r="Z2" s="35"/>
      <c r="AA2" s="58" t="s">
        <v>179</v>
      </c>
      <c r="AB2" s="57">
        <f>B2/BA$2</f>
        <v>2.6779880189171715E-2</v>
      </c>
      <c r="AC2" s="57">
        <f>C2/BB$2</f>
        <v>1.9255758900339297E-2</v>
      </c>
      <c r="AD2" s="57">
        <f>D2/BC$2</f>
        <v>1.4946513728583731E-2</v>
      </c>
      <c r="AE2" s="57">
        <f>E2/BD$2</f>
        <v>-2.8190520259178165</v>
      </c>
      <c r="AF2" s="57">
        <f>F2/BE$2</f>
        <v>0.10923546543000046</v>
      </c>
      <c r="AG2" s="57">
        <f>G2/BF$2</f>
        <v>0.202831813721294</v>
      </c>
      <c r="AH2" s="57">
        <f>H2/BH$2</f>
        <v>1.2664621003780033E-2</v>
      </c>
      <c r="AI2" s="57">
        <f>I2/BH$2</f>
        <v>-2.4781146126571296E-2</v>
      </c>
      <c r="AJ2" s="57">
        <f>J2/BI$2</f>
        <v>-3.0676886476281601E-3</v>
      </c>
      <c r="AK2" s="57">
        <f>K2/BI$2</f>
        <v>-2.2764569637342816E-2</v>
      </c>
      <c r="AL2" s="57">
        <f>L2/BJ$2</f>
        <v>8.4235181480906886E-3</v>
      </c>
      <c r="AM2" s="57">
        <f>M2/BK$2</f>
        <v>-0.27480704625854241</v>
      </c>
      <c r="AN2" s="57">
        <f>N2/BL$2</f>
        <v>1.0120593470885564E-2</v>
      </c>
      <c r="AO2" s="57">
        <f>O2/BM$2</f>
        <v>1.4751673907406254E-2</v>
      </c>
      <c r="AP2" s="57">
        <f>P2/BN$2</f>
        <v>7.8321333243261196E-3</v>
      </c>
      <c r="AQ2" s="57">
        <f>Q2/BO$2</f>
        <v>-5.7549646692501375E-3</v>
      </c>
      <c r="AR2" s="57">
        <f>R2/BP$2</f>
        <v>-0.10502347857773106</v>
      </c>
      <c r="AS2" s="57">
        <f>S2/BQ$2</f>
        <v>8.9983339665788975E-3</v>
      </c>
      <c r="AT2" s="57">
        <f>T2/BR$2</f>
        <v>5.2106904485553947E-3</v>
      </c>
      <c r="AU2" s="57">
        <f>U2/BS$2</f>
        <v>1.8400768101990067E-2</v>
      </c>
      <c r="AV2" s="57">
        <f>V2/BT$2</f>
        <v>5.0347714830368063E-3</v>
      </c>
      <c r="AW2" s="57">
        <f>W2/BU$2</f>
        <v>2.9248490676913159E-3</v>
      </c>
      <c r="AX2" s="57">
        <f>X2/BV$2</f>
        <v>2.8149505368948789E-3</v>
      </c>
      <c r="AY2" s="57">
        <f>Y2/BW$2</f>
        <v>3.0591219841749544E-3</v>
      </c>
      <c r="BA2" s="46">
        <v>22.989699999999999</v>
      </c>
      <c r="BB2" s="46">
        <v>24.305</v>
      </c>
      <c r="BC2" s="46">
        <v>26.981999999999999</v>
      </c>
      <c r="BD2" s="46">
        <v>28.0855</v>
      </c>
      <c r="BE2" s="46">
        <v>30.973759999999999</v>
      </c>
      <c r="BF2" s="46">
        <v>39.098300000000002</v>
      </c>
      <c r="BG2" s="46">
        <v>40.08</v>
      </c>
      <c r="BH2" s="46">
        <v>40.08</v>
      </c>
      <c r="BI2" s="46">
        <v>40.08</v>
      </c>
      <c r="BJ2" s="46">
        <v>54.938043</v>
      </c>
      <c r="BK2" s="46">
        <v>55.844999999999999</v>
      </c>
      <c r="BL2" s="46">
        <v>58.93</v>
      </c>
      <c r="BM2" s="46">
        <v>58.69</v>
      </c>
      <c r="BN2" s="46">
        <v>63.545999999999999</v>
      </c>
      <c r="BO2" s="46">
        <v>65.38</v>
      </c>
      <c r="BP2" s="56">
        <v>77.917309099999997</v>
      </c>
      <c r="BQ2" s="56">
        <v>81.916699399999999</v>
      </c>
      <c r="BR2" s="46">
        <v>87.6</v>
      </c>
      <c r="BS2" s="46">
        <v>95.94</v>
      </c>
      <c r="BT2" s="46">
        <v>112.41</v>
      </c>
      <c r="BU2" s="46">
        <v>207.2</v>
      </c>
      <c r="BV2" s="46">
        <v>207.2</v>
      </c>
      <c r="BW2" s="46">
        <v>207.2</v>
      </c>
    </row>
    <row r="3" spans="1:75" ht="11.25" customHeight="1" x14ac:dyDescent="0.2">
      <c r="A3" s="55" t="s">
        <v>178</v>
      </c>
      <c r="B3" s="53">
        <v>2000</v>
      </c>
      <c r="C3" s="53">
        <v>2000</v>
      </c>
      <c r="D3" s="53">
        <v>2000</v>
      </c>
      <c r="E3" s="53">
        <v>10000</v>
      </c>
      <c r="F3" s="53">
        <v>10000</v>
      </c>
      <c r="G3" s="53">
        <v>10000</v>
      </c>
      <c r="H3" s="53">
        <v>2000</v>
      </c>
      <c r="I3" s="53">
        <v>2000</v>
      </c>
      <c r="J3" s="53">
        <v>2000</v>
      </c>
      <c r="K3" s="53">
        <v>2000</v>
      </c>
      <c r="L3" s="53">
        <v>2000</v>
      </c>
      <c r="M3" s="53">
        <v>2000</v>
      </c>
      <c r="N3" s="53">
        <v>2000</v>
      </c>
      <c r="O3" s="53">
        <v>2000</v>
      </c>
      <c r="P3" s="53">
        <v>2000</v>
      </c>
      <c r="Q3" s="53">
        <v>2000</v>
      </c>
      <c r="R3" s="53">
        <v>2000</v>
      </c>
      <c r="S3" s="54">
        <v>2000</v>
      </c>
      <c r="T3" s="53">
        <v>2000</v>
      </c>
      <c r="U3" s="53">
        <v>2000</v>
      </c>
      <c r="V3" s="53">
        <v>2000</v>
      </c>
      <c r="W3" s="53">
        <v>2000</v>
      </c>
      <c r="X3" s="53">
        <v>2000</v>
      </c>
      <c r="Y3" s="54">
        <v>2000</v>
      </c>
      <c r="Z3" s="50" t="s">
        <v>177</v>
      </c>
      <c r="AA3" s="52" t="s">
        <v>178</v>
      </c>
      <c r="AB3" s="51">
        <f>B3/BA$2</f>
        <v>86.995480584783621</v>
      </c>
      <c r="AC3" s="51">
        <f>C3/BB$2</f>
        <v>82.287595145031887</v>
      </c>
      <c r="AD3" s="51">
        <f>D3/BC$2</f>
        <v>74.123489733896676</v>
      </c>
      <c r="AE3" s="51">
        <f>E3/BD$2</f>
        <v>356.05561588720161</v>
      </c>
      <c r="AF3" s="51">
        <f>F3/BE$2</f>
        <v>322.85392538716644</v>
      </c>
      <c r="AG3" s="51">
        <f>G3/BF$2</f>
        <v>255.76559594662683</v>
      </c>
      <c r="AH3" s="51">
        <f>H3/BH$2</f>
        <v>49.900199600798402</v>
      </c>
      <c r="AI3" s="51">
        <f>I3/BH$2</f>
        <v>49.900199600798402</v>
      </c>
      <c r="AJ3" s="51">
        <f>J3/BI$2</f>
        <v>49.900199600798402</v>
      </c>
      <c r="AK3" s="51">
        <f>K3/BI$2</f>
        <v>49.900199600798402</v>
      </c>
      <c r="AL3" s="51">
        <f>L3/BJ$2</f>
        <v>36.404645866253375</v>
      </c>
      <c r="AM3" s="51">
        <f>M3/BK$2</f>
        <v>35.813412122840006</v>
      </c>
      <c r="AN3" s="51">
        <f>N3/BL$2</f>
        <v>33.938571186153062</v>
      </c>
      <c r="AO3" s="51">
        <f>O3/BM$2</f>
        <v>34.07735559720566</v>
      </c>
      <c r="AP3" s="51">
        <f>P3/BN$2</f>
        <v>31.473263462688447</v>
      </c>
      <c r="AQ3" s="51">
        <f>Q3/BO$2</f>
        <v>30.590394616090549</v>
      </c>
      <c r="AR3" s="51">
        <f>R3/BP$2</f>
        <v>25.668237559810699</v>
      </c>
      <c r="AS3" s="51">
        <f>S3/BQ$2</f>
        <v>24.415046195086322</v>
      </c>
      <c r="AT3" s="51">
        <f>T3/BR$2</f>
        <v>22.831050228310502</v>
      </c>
      <c r="AU3" s="51">
        <f>U3/BS$2</f>
        <v>20.846362309776943</v>
      </c>
      <c r="AV3" s="51">
        <f>V3/BT$2</f>
        <v>17.792011386887289</v>
      </c>
      <c r="AW3" s="51">
        <f>W3/BU$2</f>
        <v>9.6525096525096536</v>
      </c>
      <c r="AX3" s="51">
        <f>X3/BV$2</f>
        <v>9.6525096525096536</v>
      </c>
      <c r="AY3" s="51">
        <f>Y3/BW$2</f>
        <v>9.6525096525096536</v>
      </c>
    </row>
    <row r="4" spans="1:75" ht="12.75" customHeight="1" x14ac:dyDescent="0.2">
      <c r="A4" s="4" t="s">
        <v>119</v>
      </c>
      <c r="B4" s="21">
        <v>156.52293933379701</v>
      </c>
      <c r="C4" s="21">
        <v>39.401868757365399</v>
      </c>
      <c r="D4" s="21">
        <v>12.7383510724988</v>
      </c>
      <c r="E4" s="21">
        <v>2443.70483709782</v>
      </c>
      <c r="F4" s="21">
        <v>2.86822805465729</v>
      </c>
      <c r="G4" s="21">
        <v>332.74280798021601</v>
      </c>
      <c r="H4" s="21">
        <v>207.72834042729701</v>
      </c>
      <c r="I4" s="21">
        <v>343.36928477443098</v>
      </c>
      <c r="J4" s="21">
        <v>299.52119642374703</v>
      </c>
      <c r="K4" s="21">
        <v>360.98095967939003</v>
      </c>
      <c r="L4" s="21">
        <v>0.14613113871951899</v>
      </c>
      <c r="M4" s="21">
        <v>-16.838949783103899</v>
      </c>
      <c r="N4" s="21">
        <v>2.3192372147457598E-3</v>
      </c>
      <c r="O4" s="21">
        <v>-6.7465287402148499</v>
      </c>
      <c r="P4" s="21">
        <v>0.22403233529759101</v>
      </c>
      <c r="Q4" s="21">
        <v>-0.80461166451876998</v>
      </c>
      <c r="R4" s="21">
        <v>-11.090908940481899</v>
      </c>
      <c r="S4" s="21">
        <v>7.5052557665651207E-2</v>
      </c>
      <c r="T4" s="21">
        <v>0.89510879336801796</v>
      </c>
      <c r="U4" s="21">
        <v>0.69214942902625998</v>
      </c>
      <c r="V4" s="21">
        <v>5.3254276784096402E-2</v>
      </c>
      <c r="W4" s="21">
        <v>7.7922548142397602E-2</v>
      </c>
      <c r="X4" s="21">
        <v>7.9571350418129794E-2</v>
      </c>
      <c r="Y4" s="87">
        <v>8.1019378556210803E-2</v>
      </c>
      <c r="Z4" s="49"/>
      <c r="AA4" s="4" t="s">
        <v>119</v>
      </c>
      <c r="AB4" s="89">
        <f>B4/BA$2</f>
        <v>6.8083941649433015</v>
      </c>
      <c r="AC4" s="89">
        <f>C4/BB$2</f>
        <v>1.6211425121318823</v>
      </c>
      <c r="AD4" s="89">
        <f>D4/BC$2</f>
        <v>0.47210551747456825</v>
      </c>
      <c r="AE4" s="89">
        <f>E4/BD$2</f>
        <v>87.009483081939791</v>
      </c>
      <c r="AF4" s="93">
        <f>F4/BE$2</f>
        <v>9.2601868635170226E-2</v>
      </c>
      <c r="AG4" s="89">
        <f>G4/BF$2</f>
        <v>8.5104162580013956</v>
      </c>
      <c r="AH4" s="89">
        <f>H4/BG$2</f>
        <v>5.1828428250323606</v>
      </c>
      <c r="AI4" s="89">
        <f>I4/BH$2</f>
        <v>8.5670979235137477</v>
      </c>
      <c r="AJ4" s="89">
        <f>J4/BI$2</f>
        <v>7.4730837431074608</v>
      </c>
      <c r="AK4" s="89">
        <f>K4/BI$2</f>
        <v>9.0065109700446619</v>
      </c>
      <c r="AL4" s="93">
        <f>L4/BJ$2</f>
        <v>2.6599261775582177E-3</v>
      </c>
      <c r="AM4" s="93">
        <f>M4/BK$2</f>
        <v>-0.30153012414905361</v>
      </c>
      <c r="AN4" s="93">
        <f>N4/BL$2</f>
        <v>3.9355798655112162E-5</v>
      </c>
      <c r="AO4" s="93">
        <f>O4/BM$2</f>
        <v>-0.11495192946353468</v>
      </c>
      <c r="AP4" s="93">
        <f>P4/BN$2</f>
        <v>3.5255143564912189E-3</v>
      </c>
      <c r="AQ4" s="93">
        <f>Q4/BO$2</f>
        <v>-1.2306694165169319E-2</v>
      </c>
      <c r="AR4" s="93">
        <f>R4/BP$2</f>
        <v>-0.1423420427192589</v>
      </c>
      <c r="AS4" s="93">
        <f>S4/BQ$2</f>
        <v>9.1620583123312716E-4</v>
      </c>
      <c r="AT4" s="89">
        <f>T4/BR$2</f>
        <v>1.0218136910593813E-2</v>
      </c>
      <c r="AU4" s="93">
        <f>U4/BS$2</f>
        <v>7.214398884993329E-3</v>
      </c>
      <c r="AV4" s="93">
        <f>V4/BT$2</f>
        <v>4.7375034947154529E-4</v>
      </c>
      <c r="AW4" s="93">
        <f>W4/BU$2</f>
        <v>3.7607407404632051E-4</v>
      </c>
      <c r="AX4" s="93">
        <f>X4/BV$2</f>
        <v>3.8403161398711295E-4</v>
      </c>
      <c r="AY4" s="93">
        <f>Y4/BW$2</f>
        <v>3.9102016677707919E-4</v>
      </c>
    </row>
    <row r="5" spans="1:75" x14ac:dyDescent="0.2">
      <c r="A5" s="7" t="s">
        <v>101</v>
      </c>
      <c r="B5" s="22">
        <v>13811.324297987399</v>
      </c>
      <c r="C5" s="22">
        <v>31253.915687375498</v>
      </c>
      <c r="D5" s="22">
        <v>6.97126107401425</v>
      </c>
      <c r="E5" s="22">
        <v>9630.5237970067992</v>
      </c>
      <c r="F5" s="22">
        <v>10.309182328393801</v>
      </c>
      <c r="G5" s="22">
        <v>1724.9005768688401</v>
      </c>
      <c r="H5" s="22">
        <v>38522.244330114401</v>
      </c>
      <c r="I5" s="22">
        <v>65117.527015979598</v>
      </c>
      <c r="J5" s="22">
        <v>58848.309862723203</v>
      </c>
      <c r="K5" s="22">
        <v>64841.339776805296</v>
      </c>
      <c r="L5" s="22">
        <v>1.27447884283778</v>
      </c>
      <c r="M5" s="22">
        <v>266.81256878356601</v>
      </c>
      <c r="N5" s="22">
        <v>0.11024424757965801</v>
      </c>
      <c r="O5" s="22">
        <v>-4.5610574354347797</v>
      </c>
      <c r="P5" s="22">
        <v>0.84189703698814899</v>
      </c>
      <c r="Q5" s="22">
        <v>1.2094292491579099</v>
      </c>
      <c r="R5" s="22">
        <v>-12.6817202012032</v>
      </c>
      <c r="S5" s="22">
        <v>0.26462846896749098</v>
      </c>
      <c r="T5" s="22">
        <v>135.56160611836799</v>
      </c>
      <c r="U5" s="22">
        <v>0.55310332444643995</v>
      </c>
      <c r="V5" s="22">
        <v>1.75529385645239E-2</v>
      </c>
      <c r="W5" s="22">
        <v>0.10021801788017801</v>
      </c>
      <c r="X5" s="22">
        <v>0.105890465909259</v>
      </c>
      <c r="Y5" s="88">
        <v>0.11238702703926599</v>
      </c>
      <c r="Z5" s="49"/>
      <c r="AA5" s="7" t="s">
        <v>101</v>
      </c>
      <c r="AB5" s="92">
        <f>B5/BA$2</f>
        <v>600.76139740785652</v>
      </c>
      <c r="AC5" s="92">
        <f>C5/BB$2</f>
        <v>1285.9047803898579</v>
      </c>
      <c r="AD5" s="90">
        <f>D5/BC$2</f>
        <v>0.25836709932600438</v>
      </c>
      <c r="AE5" s="90">
        <f>E5/BD$2</f>
        <v>342.90020818596071</v>
      </c>
      <c r="AF5" s="90">
        <f>F5/BE$2</f>
        <v>0.33283599822539472</v>
      </c>
      <c r="AG5" s="90">
        <f>G5/BF$2</f>
        <v>44.117022399153925</v>
      </c>
      <c r="AH5" s="92">
        <f>H5/BG$2</f>
        <v>961.13384057171663</v>
      </c>
      <c r="AI5" s="92">
        <f>I5/BH$2</f>
        <v>1624.6887978038822</v>
      </c>
      <c r="AJ5" s="89">
        <f t="shared" ref="AJ5:AJ7" si="0">J5/BI$2</f>
        <v>1468.2712041597606</v>
      </c>
      <c r="AK5" s="92">
        <f>K5/BI$2</f>
        <v>1617.7978986228868</v>
      </c>
      <c r="AL5" s="90">
        <f>L5/BJ$2</f>
        <v>2.3198475468770883E-2</v>
      </c>
      <c r="AM5" s="90">
        <f>M5/BK$2</f>
        <v>4.7777342426997222</v>
      </c>
      <c r="AN5" s="94">
        <f>N5/BL$2</f>
        <v>1.870766122173053E-3</v>
      </c>
      <c r="AO5" s="94">
        <f>O5/BM$2</f>
        <v>-7.7714388063294934E-2</v>
      </c>
      <c r="AP5" s="90">
        <f>P5/BN$2</f>
        <v>1.3248623626792386E-2</v>
      </c>
      <c r="AQ5" s="90">
        <f>Q5/BO$2</f>
        <v>1.8498458995991281E-2</v>
      </c>
      <c r="AR5" s="94">
        <f>R5/BP$2</f>
        <v>-0.16275870339576703</v>
      </c>
      <c r="AS5" s="94">
        <f>S5/BQ$2</f>
        <v>3.23045814718813E-3</v>
      </c>
      <c r="AT5" s="90">
        <f>T5/BR$2</f>
        <v>1.5475069191594522</v>
      </c>
      <c r="AU5" s="94">
        <f>U5/BS$2</f>
        <v>5.7650961480762977E-3</v>
      </c>
      <c r="AV5" s="94">
        <f>V5/BT$2</f>
        <v>1.5615104140667113E-4</v>
      </c>
      <c r="AW5" s="94">
        <f>W5/BU$2</f>
        <v>4.8367769247190161E-4</v>
      </c>
      <c r="AX5" s="94">
        <f>X5/BV$2</f>
        <v>5.1105437214893346E-4</v>
      </c>
      <c r="AY5" s="94">
        <f>Y5/BW$2</f>
        <v>5.4240843165668921E-4</v>
      </c>
    </row>
    <row r="6" spans="1:75" ht="12.75" customHeight="1" x14ac:dyDescent="0.2">
      <c r="A6" s="7" t="s">
        <v>150</v>
      </c>
      <c r="B6" s="22">
        <v>13205.4581423933</v>
      </c>
      <c r="C6" s="22">
        <v>28253.748408728999</v>
      </c>
      <c r="D6" s="22">
        <v>10.059499087522401</v>
      </c>
      <c r="E6" s="22">
        <v>7439.9268969772502</v>
      </c>
      <c r="F6" s="22">
        <v>73.866531092176999</v>
      </c>
      <c r="G6" s="22">
        <v>6380.7757414020998</v>
      </c>
      <c r="H6" s="22">
        <v>30063.814354570499</v>
      </c>
      <c r="I6" s="22">
        <v>46781.744162083502</v>
      </c>
      <c r="J6" s="22">
        <v>43616.929005363098</v>
      </c>
      <c r="K6" s="22">
        <v>50206.116343117399</v>
      </c>
      <c r="L6" s="22">
        <v>5.8725191791372202</v>
      </c>
      <c r="M6" s="22">
        <v>258.105182506777</v>
      </c>
      <c r="N6" s="22">
        <v>0.119408187108448</v>
      </c>
      <c r="O6" s="22">
        <v>-4.8817664561929197</v>
      </c>
      <c r="P6" s="22">
        <v>1.33695367196241</v>
      </c>
      <c r="Q6" s="22">
        <v>0.73781606320206095</v>
      </c>
      <c r="R6" s="22">
        <v>-16.5680167935088</v>
      </c>
      <c r="S6" s="22">
        <v>0.28473615459693502</v>
      </c>
      <c r="T6" s="22">
        <v>226.520723057011</v>
      </c>
      <c r="U6" s="22">
        <v>0.29548615568393999</v>
      </c>
      <c r="V6" s="22">
        <v>8.9252045464936394E-3</v>
      </c>
      <c r="W6" s="22">
        <v>6.4822476579398505E-2</v>
      </c>
      <c r="X6" s="22">
        <v>6.3524509931894693E-2</v>
      </c>
      <c r="Y6" s="88">
        <v>6.3586392699549799E-2</v>
      </c>
      <c r="Z6" s="49"/>
      <c r="AA6" s="7" t="s">
        <v>150</v>
      </c>
      <c r="AB6" s="92">
        <f>B6/BA$2</f>
        <v>574.40758871987452</v>
      </c>
      <c r="AC6" s="92">
        <f>C6/BB$2</f>
        <v>1162.4665051935403</v>
      </c>
      <c r="AD6" s="90">
        <f>D6/BC$2</f>
        <v>0.37282258867105483</v>
      </c>
      <c r="AE6" s="90">
        <f>E6/BD$2</f>
        <v>264.90277534589916</v>
      </c>
      <c r="AF6" s="90">
        <f>F6/BE$2</f>
        <v>2.3848099517842525</v>
      </c>
      <c r="AG6" s="90">
        <f>G6/BF$2</f>
        <v>163.19829101014878</v>
      </c>
      <c r="AH6" s="92">
        <f>H6/BG$2</f>
        <v>750.0951685272081</v>
      </c>
      <c r="AI6" s="92">
        <f>I6/BH$2</f>
        <v>1167.2091856807263</v>
      </c>
      <c r="AJ6" s="89">
        <f t="shared" si="0"/>
        <v>1088.2467316707359</v>
      </c>
      <c r="AK6" s="92">
        <f>K6/BI$2</f>
        <v>1252.6476133512326</v>
      </c>
      <c r="AL6" s="90">
        <f>L6/BJ$2</f>
        <v>0.10689349052963572</v>
      </c>
      <c r="AM6" s="90">
        <f>M6/BK$2</f>
        <v>4.62181363607802</v>
      </c>
      <c r="AN6" s="94">
        <f>N6/BL$2</f>
        <v>2.0262716291947736E-3</v>
      </c>
      <c r="AO6" s="94">
        <f>O6/BM$2</f>
        <v>-8.3178845735098317E-2</v>
      </c>
      <c r="AP6" s="90">
        <f>P6/BN$2</f>
        <v>2.1039147577540836E-2</v>
      </c>
      <c r="AQ6" s="90">
        <f>Q6/BO$2</f>
        <v>1.1285042263720724E-2</v>
      </c>
      <c r="AR6" s="94">
        <f>R6/BP$2</f>
        <v>-0.21263589547535852</v>
      </c>
      <c r="AS6" s="94">
        <f>S6/BQ$2</f>
        <v>3.4759231839477044E-3</v>
      </c>
      <c r="AT6" s="90">
        <f>T6/BR$2</f>
        <v>2.5858530029339155</v>
      </c>
      <c r="AU6" s="94">
        <f>U6/BS$2</f>
        <v>3.0799057294552843E-3</v>
      </c>
      <c r="AV6" s="94">
        <f>V6/BT$2</f>
        <v>7.9398670460756508E-5</v>
      </c>
      <c r="AW6" s="94">
        <f>W6/BU$2</f>
        <v>3.1284979044111249E-4</v>
      </c>
      <c r="AX6" s="94">
        <f>X6/BV$2</f>
        <v>3.0658547264427941E-4</v>
      </c>
      <c r="AY6" s="94">
        <f>Y6/BW$2</f>
        <v>3.0688413465033689E-4</v>
      </c>
    </row>
    <row r="7" spans="1:75" x14ac:dyDescent="0.2">
      <c r="A7" s="7" t="s">
        <v>137</v>
      </c>
      <c r="B7" s="12" t="s">
        <v>25</v>
      </c>
      <c r="C7" s="22">
        <v>22494.8358805192</v>
      </c>
      <c r="D7" s="22">
        <v>92.337613196898801</v>
      </c>
      <c r="E7" s="22">
        <v>4090.4306556200299</v>
      </c>
      <c r="F7" s="22">
        <v>3791.6337320320199</v>
      </c>
      <c r="G7" s="22">
        <v>26193.098409960101</v>
      </c>
      <c r="H7" s="22">
        <v>45763.414236186603</v>
      </c>
      <c r="I7" s="22">
        <v>76882.884938569405</v>
      </c>
      <c r="J7" s="22">
        <v>64474.607674475003</v>
      </c>
      <c r="K7" s="22">
        <v>83133.676259829794</v>
      </c>
      <c r="L7" s="22">
        <v>655.94371119677305</v>
      </c>
      <c r="M7" s="22">
        <v>4028.5507096104702</v>
      </c>
      <c r="N7" s="22">
        <v>0.92345523005887398</v>
      </c>
      <c r="O7" s="22">
        <v>-2.7483499406003302</v>
      </c>
      <c r="P7" s="22">
        <v>1.69479432617723</v>
      </c>
      <c r="Q7" s="22">
        <v>6.8602417852694701</v>
      </c>
      <c r="R7" s="22">
        <v>-16.392403371405699</v>
      </c>
      <c r="S7" s="22">
        <v>1.09732616221097</v>
      </c>
      <c r="T7" s="22">
        <v>568.89408235020198</v>
      </c>
      <c r="U7" s="22">
        <v>0.28248814746929901</v>
      </c>
      <c r="V7" s="22">
        <v>2.2213911805434399E-2</v>
      </c>
      <c r="W7" s="22">
        <v>0.14917811654163399</v>
      </c>
      <c r="X7" s="22">
        <v>0.14421547545021399</v>
      </c>
      <c r="Y7" s="88">
        <v>0.142153414631079</v>
      </c>
      <c r="Z7" s="49"/>
      <c r="AA7" s="7" t="s">
        <v>137</v>
      </c>
      <c r="AB7" s="92" t="e">
        <f>B7/BA$2</f>
        <v>#VALUE!</v>
      </c>
      <c r="AC7" s="92">
        <f>C7/BB$2</f>
        <v>925.52297389505043</v>
      </c>
      <c r="AD7" s="90">
        <f>D7/BC$2</f>
        <v>3.4221930619264249</v>
      </c>
      <c r="AE7" s="90">
        <f>E7/BD$2</f>
        <v>145.64208063306796</v>
      </c>
      <c r="AF7" s="90">
        <f>F7/BE$2</f>
        <v>122.41438340169292</v>
      </c>
      <c r="AG7" s="92">
        <f>G7/BF$2</f>
        <v>669.92934245120887</v>
      </c>
      <c r="AH7" s="92">
        <f>H7/BG$2</f>
        <v>1141.8017523998653</v>
      </c>
      <c r="AI7" s="92">
        <f>I7/BH$2</f>
        <v>1918.2356521599154</v>
      </c>
      <c r="AJ7" s="89">
        <f t="shared" si="0"/>
        <v>1608.6478960697357</v>
      </c>
      <c r="AK7" s="92">
        <f>K7/BI$2</f>
        <v>2074.1935194568314</v>
      </c>
      <c r="AL7" s="90">
        <f>L7/BJ$2</f>
        <v>11.939699257157249</v>
      </c>
      <c r="AM7" s="92">
        <f>M7/BK$2</f>
        <v>72.138073410519652</v>
      </c>
      <c r="AN7" s="90">
        <f>N7/BL$2</f>
        <v>1.5670375531289225E-2</v>
      </c>
      <c r="AO7" s="94">
        <f>O7/BM$2</f>
        <v>-4.6828249115698252E-2</v>
      </c>
      <c r="AP7" s="90">
        <f>P7/BN$2</f>
        <v>2.6670354171422751E-2</v>
      </c>
      <c r="AQ7" s="90">
        <f>Q7/BO$2</f>
        <v>0.10492875168659331</v>
      </c>
      <c r="AR7" s="94">
        <f>R7/BP$2</f>
        <v>-0.21038205195674164</v>
      </c>
      <c r="AS7" s="90">
        <f>S7/BQ$2</f>
        <v>1.339563447072881E-2</v>
      </c>
      <c r="AT7" s="90">
        <f>T7/BR$2</f>
        <v>6.4942246843630365</v>
      </c>
      <c r="AU7" s="94">
        <f>U7/BS$2</f>
        <v>2.9444251351813532E-3</v>
      </c>
      <c r="AV7" s="94">
        <f>V7/BT$2</f>
        <v>1.9761508589479938E-4</v>
      </c>
      <c r="AW7" s="94">
        <f>W7/BU$2</f>
        <v>7.1997160493066602E-4</v>
      </c>
      <c r="AX7" s="94">
        <f>X7/BV$2</f>
        <v>6.9602063441222967E-4</v>
      </c>
      <c r="AY7" s="94">
        <f>Y7/BW$2</f>
        <v>6.8606860343184851E-4</v>
      </c>
    </row>
    <row r="8" spans="1:75" x14ac:dyDescent="0.2">
      <c r="Z8" s="49"/>
    </row>
    <row r="9" spans="1:75" x14ac:dyDescent="0.2">
      <c r="Z9" s="49"/>
    </row>
    <row r="10" spans="1:75" x14ac:dyDescent="0.2">
      <c r="Z10" s="49"/>
    </row>
    <row r="11" spans="1:75" x14ac:dyDescent="0.2">
      <c r="Z11" s="49"/>
    </row>
    <row r="12" spans="1:75" ht="13.5" thickBot="1" x14ac:dyDescent="0.25">
      <c r="Z12" s="48"/>
      <c r="AE12" s="91"/>
    </row>
  </sheetData>
  <mergeCells count="1">
    <mergeCell ref="Z3:Z12"/>
  </mergeCells>
  <conditionalFormatting sqref="B4:B1048576">
    <cfRule type="cellIs" dxfId="164" priority="47" operator="lessThan">
      <formula>$B$2</formula>
    </cfRule>
  </conditionalFormatting>
  <conditionalFormatting sqref="C4:C1048576">
    <cfRule type="cellIs" dxfId="163" priority="48" operator="lessThan">
      <formula>$C$2</formula>
    </cfRule>
  </conditionalFormatting>
  <conditionalFormatting sqref="D4:D1048576">
    <cfRule type="cellIs" dxfId="162" priority="49" operator="lessThan">
      <formula>$D$2</formula>
    </cfRule>
  </conditionalFormatting>
  <conditionalFormatting sqref="E4:E1048576">
    <cfRule type="cellIs" dxfId="161" priority="50" operator="lessThan">
      <formula>$E$2</formula>
    </cfRule>
  </conditionalFormatting>
  <conditionalFormatting sqref="E4:G1048576">
    <cfRule type="cellIs" dxfId="160" priority="70" operator="greaterThan">
      <formula>10000</formula>
    </cfRule>
  </conditionalFormatting>
  <conditionalFormatting sqref="F4:F1048576">
    <cfRule type="cellIs" dxfId="159" priority="51" operator="lessThan">
      <formula>$F$2</formula>
    </cfRule>
  </conditionalFormatting>
  <conditionalFormatting sqref="G4:G1048576">
    <cfRule type="cellIs" dxfId="158" priority="52" operator="lessThan">
      <formula>$G$2</formula>
    </cfRule>
  </conditionalFormatting>
  <conditionalFormatting sqref="H4:H1048576">
    <cfRule type="cellIs" dxfId="157" priority="53" operator="lessThan">
      <formula>$H$2</formula>
    </cfRule>
  </conditionalFormatting>
  <conditionalFormatting sqref="H4:Y1048576 B4:D1048576">
    <cfRule type="cellIs" dxfId="156" priority="71" operator="greaterThan">
      <formula>2000</formula>
    </cfRule>
  </conditionalFormatting>
  <conditionalFormatting sqref="I4:J1048576">
    <cfRule type="cellIs" dxfId="155" priority="54" operator="lessThan">
      <formula>$I$2</formula>
    </cfRule>
  </conditionalFormatting>
  <conditionalFormatting sqref="K4:K1048576">
    <cfRule type="cellIs" dxfId="154" priority="55" operator="lessThan">
      <formula>$K$2</formula>
    </cfRule>
  </conditionalFormatting>
  <conditionalFormatting sqref="L4:L1048576">
    <cfRule type="cellIs" dxfId="153" priority="56" operator="lessThan">
      <formula>$L$2</formula>
    </cfRule>
  </conditionalFormatting>
  <conditionalFormatting sqref="M4:M1048576">
    <cfRule type="cellIs" dxfId="152" priority="57" operator="lessThan">
      <formula>$M$2</formula>
    </cfRule>
  </conditionalFormatting>
  <conditionalFormatting sqref="N4:N1048576">
    <cfRule type="cellIs" dxfId="151" priority="58" operator="lessThan">
      <formula>$N$2</formula>
    </cfRule>
  </conditionalFormatting>
  <conditionalFormatting sqref="O4:O1048576">
    <cfRule type="cellIs" dxfId="150" priority="59" operator="lessThan">
      <formula>$O$2</formula>
    </cfRule>
  </conditionalFormatting>
  <conditionalFormatting sqref="P4:P1048576">
    <cfRule type="cellIs" dxfId="149" priority="60" operator="lessThan">
      <formula>$P$2</formula>
    </cfRule>
  </conditionalFormatting>
  <conditionalFormatting sqref="Q4:S1048576">
    <cfRule type="cellIs" dxfId="148" priority="61" operator="lessThan">
      <formula>$Q$2</formula>
    </cfRule>
  </conditionalFormatting>
  <conditionalFormatting sqref="R4:R1048576">
    <cfRule type="cellIs" dxfId="147" priority="68" operator="lessThan">
      <formula>$R$2</formula>
    </cfRule>
  </conditionalFormatting>
  <conditionalFormatting sqref="S4:S1048576">
    <cfRule type="cellIs" dxfId="146" priority="69" operator="lessThan">
      <formula>$S$2</formula>
    </cfRule>
  </conditionalFormatting>
  <conditionalFormatting sqref="T4:T1048576">
    <cfRule type="cellIs" dxfId="145" priority="62" operator="lessThan">
      <formula>$T$2</formula>
    </cfRule>
  </conditionalFormatting>
  <conditionalFormatting sqref="U4:U1048576">
    <cfRule type="cellIs" dxfId="144" priority="63" operator="lessThan">
      <formula>$U$2</formula>
    </cfRule>
  </conditionalFormatting>
  <conditionalFormatting sqref="V4:V1048576">
    <cfRule type="cellIs" dxfId="143" priority="64" operator="lessThan">
      <formula>$V$2</formula>
    </cfRule>
  </conditionalFormatting>
  <conditionalFormatting sqref="W4:W1048576">
    <cfRule type="cellIs" dxfId="142" priority="65" operator="lessThan">
      <formula>$W$2</formula>
    </cfRule>
  </conditionalFormatting>
  <conditionalFormatting sqref="X4:X1048576">
    <cfRule type="cellIs" dxfId="141" priority="66" operator="lessThan">
      <formula>$X$2</formula>
    </cfRule>
  </conditionalFormatting>
  <conditionalFormatting sqref="Y4:Y1048576">
    <cfRule type="cellIs" dxfId="140" priority="67" operator="lessThan">
      <formula>$Y$2</formula>
    </cfRule>
  </conditionalFormatting>
  <conditionalFormatting sqref="AB4:AB1048576">
    <cfRule type="cellIs" dxfId="139" priority="23" operator="lessThan">
      <formula>$AB$2</formula>
    </cfRule>
    <cfRule type="cellIs" dxfId="138" priority="46" operator="greaterThan">
      <formula>$AB$3</formula>
    </cfRule>
  </conditionalFormatting>
  <conditionalFormatting sqref="AC4:AC1048576">
    <cfRule type="cellIs" dxfId="137" priority="22" operator="lessThan">
      <formula>$AC$2</formula>
    </cfRule>
    <cfRule type="cellIs" dxfId="136" priority="45" operator="greaterThan">
      <formula>$AC$3</formula>
    </cfRule>
  </conditionalFormatting>
  <conditionalFormatting sqref="AD4:AD1048576">
    <cfRule type="cellIs" dxfId="135" priority="21" operator="lessThan">
      <formula>$AD$2</formula>
    </cfRule>
    <cfRule type="cellIs" dxfId="134" priority="44" operator="greaterThan">
      <formula>$AD$3</formula>
    </cfRule>
  </conditionalFormatting>
  <conditionalFormatting sqref="AE4:AE1048576">
    <cfRule type="cellIs" dxfId="133" priority="20" operator="lessThan">
      <formula>$AE$2</formula>
    </cfRule>
    <cfRule type="cellIs" dxfId="132" priority="43" operator="greaterThan">
      <formula>$AE$3</formula>
    </cfRule>
  </conditionalFormatting>
  <conditionalFormatting sqref="AF4:AF1048576">
    <cfRule type="cellIs" dxfId="131" priority="19" operator="lessThan">
      <formula>$AF$2</formula>
    </cfRule>
    <cfRule type="cellIs" dxfId="130" priority="42" operator="greaterThan">
      <formula>$AF$3</formula>
    </cfRule>
  </conditionalFormatting>
  <conditionalFormatting sqref="AG4:AG1048576">
    <cfRule type="cellIs" dxfId="129" priority="18" operator="lessThan">
      <formula>$AG$2</formula>
    </cfRule>
    <cfRule type="cellIs" dxfId="128" priority="41" operator="greaterThan">
      <formula>$AG$3</formula>
    </cfRule>
  </conditionalFormatting>
  <conditionalFormatting sqref="AH4:AH1048576">
    <cfRule type="cellIs" dxfId="127" priority="17" operator="lessThan">
      <formula>$AH$2</formula>
    </cfRule>
    <cfRule type="cellIs" dxfId="126" priority="40" operator="greaterThan">
      <formula>$AH$3</formula>
    </cfRule>
  </conditionalFormatting>
  <conditionalFormatting sqref="AI4:AJ1048576">
    <cfRule type="cellIs" dxfId="125" priority="16" operator="lessThan">
      <formula>$AI$2</formula>
    </cfRule>
    <cfRule type="cellIs" dxfId="124" priority="39" operator="greaterThan">
      <formula>$AI$3</formula>
    </cfRule>
  </conditionalFormatting>
  <conditionalFormatting sqref="AK4:AK1048576">
    <cfRule type="cellIs" dxfId="123" priority="15" operator="lessThan">
      <formula>$AK$2</formula>
    </cfRule>
    <cfRule type="cellIs" dxfId="122" priority="38" operator="greaterThan">
      <formula>$AK$3</formula>
    </cfRule>
  </conditionalFormatting>
  <conditionalFormatting sqref="AL4:AL1048576">
    <cfRule type="cellIs" dxfId="121" priority="14" operator="lessThan">
      <formula>$AL$2</formula>
    </cfRule>
    <cfRule type="cellIs" dxfId="120" priority="37" operator="greaterThan">
      <formula>$AL$3</formula>
    </cfRule>
  </conditionalFormatting>
  <conditionalFormatting sqref="AM4:AM1048576">
    <cfRule type="cellIs" dxfId="119" priority="13" operator="lessThan">
      <formula>$AM$2</formula>
    </cfRule>
    <cfRule type="cellIs" dxfId="118" priority="36" operator="greaterThan">
      <formula>$AM$3</formula>
    </cfRule>
  </conditionalFormatting>
  <conditionalFormatting sqref="AN4:AN1048576">
    <cfRule type="cellIs" dxfId="117" priority="12" operator="lessThan">
      <formula>$AN$2</formula>
    </cfRule>
    <cfRule type="cellIs" dxfId="116" priority="35" operator="greaterThan">
      <formula>$AN$3</formula>
    </cfRule>
  </conditionalFormatting>
  <conditionalFormatting sqref="AO4:AO1048576">
    <cfRule type="cellIs" dxfId="115" priority="11" operator="lessThan">
      <formula>$AO$2</formula>
    </cfRule>
    <cfRule type="cellIs" dxfId="114" priority="34" operator="greaterThan">
      <formula>$AO$3</formula>
    </cfRule>
  </conditionalFormatting>
  <conditionalFormatting sqref="AP4:AP1048576">
    <cfRule type="cellIs" dxfId="113" priority="10" operator="lessThan">
      <formula>$AP$2</formula>
    </cfRule>
    <cfRule type="cellIs" dxfId="112" priority="33" operator="greaterThan">
      <formula>$AP$3</formula>
    </cfRule>
  </conditionalFormatting>
  <conditionalFormatting sqref="AQ4:AS1048576">
    <cfRule type="cellIs" dxfId="111" priority="9" operator="lessThan">
      <formula>$AQ$2</formula>
    </cfRule>
    <cfRule type="cellIs" dxfId="110" priority="32" operator="greaterThan">
      <formula>$AQ$3</formula>
    </cfRule>
  </conditionalFormatting>
  <conditionalFormatting sqref="AR4:AR1048576">
    <cfRule type="cellIs" dxfId="109" priority="2" operator="lessThan">
      <formula>$AR$2</formula>
    </cfRule>
    <cfRule type="cellIs" dxfId="108" priority="25" operator="greaterThan">
      <formula>$AR$3</formula>
    </cfRule>
  </conditionalFormatting>
  <conditionalFormatting sqref="AS4:AS1048576">
    <cfRule type="cellIs" dxfId="107" priority="1" operator="lessThan">
      <formula>$AS$2</formula>
    </cfRule>
    <cfRule type="cellIs" dxfId="106" priority="24" operator="greaterThan">
      <formula>$AS$3</formula>
    </cfRule>
  </conditionalFormatting>
  <conditionalFormatting sqref="AT4:AT1048576">
    <cfRule type="cellIs" dxfId="105" priority="8" operator="lessThan">
      <formula>$AT$2</formula>
    </cfRule>
    <cfRule type="cellIs" dxfId="104" priority="31" operator="greaterThan">
      <formula>$AT$3</formula>
    </cfRule>
  </conditionalFormatting>
  <conditionalFormatting sqref="AU4:AU1048576">
    <cfRule type="cellIs" dxfId="103" priority="7" operator="lessThan">
      <formula>$AU$2</formula>
    </cfRule>
    <cfRule type="cellIs" dxfId="102" priority="30" operator="greaterThan">
      <formula>$AU$3</formula>
    </cfRule>
  </conditionalFormatting>
  <conditionalFormatting sqref="AV4:AV1048576">
    <cfRule type="cellIs" dxfId="101" priority="6" operator="lessThan">
      <formula>$AV$2</formula>
    </cfRule>
    <cfRule type="cellIs" dxfId="100" priority="29" operator="greaterThan">
      <formula>$AV$3</formula>
    </cfRule>
  </conditionalFormatting>
  <conditionalFormatting sqref="AW4:AW1048576">
    <cfRule type="cellIs" dxfId="99" priority="5" operator="lessThan">
      <formula>$AW$2</formula>
    </cfRule>
    <cfRule type="cellIs" dxfId="98" priority="28" operator="greaterThan">
      <formula>$AW$3</formula>
    </cfRule>
  </conditionalFormatting>
  <conditionalFormatting sqref="AX4:AX1048576">
    <cfRule type="cellIs" dxfId="97" priority="4" operator="lessThan">
      <formula>$AX$2</formula>
    </cfRule>
    <cfRule type="cellIs" dxfId="96" priority="27" operator="greaterThan">
      <formula>$AX$3</formula>
    </cfRule>
  </conditionalFormatting>
  <conditionalFormatting sqref="AY4:AY1048576">
    <cfRule type="cellIs" dxfId="95" priority="3" operator="lessThan">
      <formula>$AY$2</formula>
    </cfRule>
    <cfRule type="cellIs" dxfId="94" priority="26" operator="greaterThan">
      <formula>$AY$3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70C6-3FB0-488F-B33C-E99BECB2CA16}">
  <dimension ref="A1:Y6"/>
  <sheetViews>
    <sheetView workbookViewId="0">
      <selection activeCell="K3" sqref="K3:Y6"/>
    </sheetView>
  </sheetViews>
  <sheetFormatPr defaultRowHeight="12.75" x14ac:dyDescent="0.2"/>
  <sheetData>
    <row r="1" spans="1:25" s="73" customFormat="1" ht="21" customHeight="1" thickBot="1" x14ac:dyDescent="0.25">
      <c r="A1" s="74" t="s">
        <v>224</v>
      </c>
    </row>
    <row r="2" spans="1:25" ht="42" x14ac:dyDescent="0.2">
      <c r="A2" s="63" t="s">
        <v>138</v>
      </c>
      <c r="B2" s="63" t="s">
        <v>223</v>
      </c>
      <c r="C2" s="63" t="s">
        <v>222</v>
      </c>
      <c r="D2" s="67" t="s">
        <v>221</v>
      </c>
      <c r="E2" s="66" t="s">
        <v>220</v>
      </c>
      <c r="F2" s="65" t="s">
        <v>219</v>
      </c>
      <c r="G2" s="63" t="s">
        <v>218</v>
      </c>
      <c r="H2" s="64" t="s">
        <v>217</v>
      </c>
      <c r="I2" s="63" t="s">
        <v>216</v>
      </c>
      <c r="J2" s="64" t="s">
        <v>215</v>
      </c>
      <c r="K2" s="63" t="s">
        <v>214</v>
      </c>
      <c r="L2" s="63" t="s">
        <v>213</v>
      </c>
      <c r="M2" s="63" t="s">
        <v>212</v>
      </c>
      <c r="N2" s="63" t="s">
        <v>211</v>
      </c>
      <c r="O2" s="63" t="s">
        <v>210</v>
      </c>
      <c r="P2" s="63" t="s">
        <v>209</v>
      </c>
      <c r="Q2" s="63" t="s">
        <v>208</v>
      </c>
      <c r="R2" s="63" t="s">
        <v>19</v>
      </c>
      <c r="S2" s="63" t="s">
        <v>15</v>
      </c>
      <c r="T2" s="63" t="s">
        <v>207</v>
      </c>
      <c r="U2" s="63" t="s">
        <v>206</v>
      </c>
      <c r="V2" s="63" t="s">
        <v>205</v>
      </c>
      <c r="W2" s="63" t="s">
        <v>204</v>
      </c>
      <c r="X2" s="63" t="s">
        <v>203</v>
      </c>
      <c r="Y2" s="63" t="s">
        <v>202</v>
      </c>
    </row>
    <row r="3" spans="1:25" x14ac:dyDescent="0.2">
      <c r="A3" s="4" t="s">
        <v>119</v>
      </c>
      <c r="B3" s="89">
        <v>6.8083941649433015</v>
      </c>
      <c r="C3" s="89">
        <v>1.6211425121318823</v>
      </c>
      <c r="D3" s="89">
        <v>0.47210551747456825</v>
      </c>
      <c r="E3" s="89">
        <v>87.009483081939791</v>
      </c>
      <c r="F3" s="93">
        <v>9.2601868635170226E-2</v>
      </c>
      <c r="G3" s="89">
        <v>8.5104162580013956</v>
      </c>
      <c r="H3" s="89">
        <v>5.1828428250323606</v>
      </c>
      <c r="I3" s="89">
        <v>8.5670979235137477</v>
      </c>
      <c r="J3" s="89">
        <v>7.4730837431074608</v>
      </c>
      <c r="K3" s="89">
        <v>9.0065109700446619</v>
      </c>
      <c r="L3" s="95">
        <v>2.6599261775582177E-3</v>
      </c>
      <c r="M3" s="95">
        <v>-0.30153012414905361</v>
      </c>
      <c r="N3" s="93">
        <v>3.9355798655112162E-5</v>
      </c>
      <c r="O3" s="93">
        <v>-0.11495192946353468</v>
      </c>
      <c r="P3" s="95">
        <v>3.5255143564912189E-3</v>
      </c>
      <c r="Q3" s="93">
        <v>-1.2306694165169319E-2</v>
      </c>
      <c r="R3" s="95">
        <v>-0.1423420427192589</v>
      </c>
      <c r="S3" s="93">
        <v>9.1620583123312716E-4</v>
      </c>
      <c r="T3" s="99">
        <v>1.0218136910593813E-2</v>
      </c>
      <c r="U3" s="95">
        <v>7.214398884993329E-3</v>
      </c>
      <c r="V3" s="93">
        <v>4.7375034947154529E-4</v>
      </c>
      <c r="W3" s="93">
        <v>3.7607407404632051E-4</v>
      </c>
      <c r="X3" s="93">
        <v>3.8403161398711295E-4</v>
      </c>
      <c r="Y3" s="93">
        <v>3.9102016677707919E-4</v>
      </c>
    </row>
    <row r="4" spans="1:25" x14ac:dyDescent="0.2">
      <c r="A4" s="7" t="s">
        <v>101</v>
      </c>
      <c r="B4" s="92">
        <v>600.76139740785652</v>
      </c>
      <c r="C4" s="92">
        <v>1285.9047803898579</v>
      </c>
      <c r="D4" s="90">
        <v>0.25836709932600438</v>
      </c>
      <c r="E4" s="90">
        <v>342.90020818596071</v>
      </c>
      <c r="F4" s="90">
        <v>0.33283599822539472</v>
      </c>
      <c r="G4" s="90">
        <v>44.117022399153925</v>
      </c>
      <c r="H4" s="92">
        <v>961.13384057171663</v>
      </c>
      <c r="I4" s="92">
        <v>1624.6887978038822</v>
      </c>
      <c r="J4" s="89">
        <v>1468.2712041597606</v>
      </c>
      <c r="K4" s="92">
        <v>1617.7978986228868</v>
      </c>
      <c r="L4" s="96">
        <v>2.3198475468770883E-2</v>
      </c>
      <c r="M4" s="96">
        <v>4.7777342426997222</v>
      </c>
      <c r="N4" s="94">
        <v>1.870766122173053E-3</v>
      </c>
      <c r="O4" s="94">
        <v>-7.7714388063294934E-2</v>
      </c>
      <c r="P4" s="96">
        <v>1.3248623626792386E-2</v>
      </c>
      <c r="Q4" s="90">
        <v>1.8498458995991281E-2</v>
      </c>
      <c r="R4" s="98">
        <v>-0.16275870339576703</v>
      </c>
      <c r="S4" s="94">
        <v>3.23045814718813E-3</v>
      </c>
      <c r="T4" s="96">
        <v>1.5475069191594522</v>
      </c>
      <c r="U4" s="98">
        <v>5.7650961480762977E-3</v>
      </c>
      <c r="V4" s="94">
        <v>1.5615104140667113E-4</v>
      </c>
      <c r="W4" s="94">
        <v>4.8367769247190161E-4</v>
      </c>
      <c r="X4" s="94">
        <v>5.1105437214893346E-4</v>
      </c>
      <c r="Y4" s="94">
        <v>5.4240843165668921E-4</v>
      </c>
    </row>
    <row r="5" spans="1:25" x14ac:dyDescent="0.2">
      <c r="A5" s="7" t="s">
        <v>150</v>
      </c>
      <c r="B5" s="92">
        <v>574.40758871987452</v>
      </c>
      <c r="C5" s="92">
        <v>1162.4665051935403</v>
      </c>
      <c r="D5" s="90">
        <v>0.37282258867105483</v>
      </c>
      <c r="E5" s="90">
        <v>264.90277534589916</v>
      </c>
      <c r="F5" s="90">
        <v>2.3848099517842525</v>
      </c>
      <c r="G5" s="90">
        <v>163.19829101014878</v>
      </c>
      <c r="H5" s="92">
        <v>750.0951685272081</v>
      </c>
      <c r="I5" s="92">
        <v>1167.2091856807263</v>
      </c>
      <c r="J5" s="89">
        <v>1088.2467316707359</v>
      </c>
      <c r="K5" s="92">
        <v>1252.6476133512326</v>
      </c>
      <c r="L5" s="96">
        <v>0.10689349052963572</v>
      </c>
      <c r="M5" s="96">
        <v>4.62181363607802</v>
      </c>
      <c r="N5" s="94">
        <v>2.0262716291947736E-3</v>
      </c>
      <c r="O5" s="94">
        <v>-8.3178845735098317E-2</v>
      </c>
      <c r="P5" s="96">
        <v>2.1039147577540836E-2</v>
      </c>
      <c r="Q5" s="90">
        <v>1.1285042263720724E-2</v>
      </c>
      <c r="R5" s="98">
        <v>-0.21263589547535852</v>
      </c>
      <c r="S5" s="94">
        <v>3.4759231839477044E-3</v>
      </c>
      <c r="T5" s="96">
        <v>2.5858530029339155</v>
      </c>
      <c r="U5" s="98">
        <v>3.0799057294552843E-3</v>
      </c>
      <c r="V5" s="94">
        <v>7.9398670460756508E-5</v>
      </c>
      <c r="W5" s="94">
        <v>3.1284979044111249E-4</v>
      </c>
      <c r="X5" s="94">
        <v>3.0658547264427941E-4</v>
      </c>
      <c r="Y5" s="94">
        <v>3.0688413465033689E-4</v>
      </c>
    </row>
    <row r="6" spans="1:25" x14ac:dyDescent="0.2">
      <c r="A6" s="7" t="s">
        <v>137</v>
      </c>
      <c r="B6" s="92" t="s">
        <v>25</v>
      </c>
      <c r="C6" s="92">
        <v>925.52297389505043</v>
      </c>
      <c r="D6" s="90">
        <v>3.4221930619264249</v>
      </c>
      <c r="E6" s="90">
        <v>145.64208063306796</v>
      </c>
      <c r="F6" s="90">
        <v>122.41438340169292</v>
      </c>
      <c r="G6" s="92">
        <v>669.92934245120887</v>
      </c>
      <c r="H6" s="92">
        <v>1141.8017523998653</v>
      </c>
      <c r="I6" s="92">
        <v>1918.2356521599154</v>
      </c>
      <c r="J6" s="89">
        <v>1608.6478960697357</v>
      </c>
      <c r="K6" s="92">
        <v>2074.1935194568314</v>
      </c>
      <c r="L6" s="96">
        <v>11.939699257157249</v>
      </c>
      <c r="M6" s="97">
        <v>72.138073410519652</v>
      </c>
      <c r="N6" s="90">
        <v>1.5670375531289225E-2</v>
      </c>
      <c r="O6" s="94">
        <v>-4.6828249115698252E-2</v>
      </c>
      <c r="P6" s="96">
        <v>2.6670354171422751E-2</v>
      </c>
      <c r="Q6" s="90">
        <v>0.10492875168659331</v>
      </c>
      <c r="R6" s="98">
        <v>-0.21038205195674164</v>
      </c>
      <c r="S6" s="90">
        <v>1.339563447072881E-2</v>
      </c>
      <c r="T6" s="96">
        <v>6.4942246843630365</v>
      </c>
      <c r="U6" s="98">
        <v>2.9444251351813532E-3</v>
      </c>
      <c r="V6" s="94">
        <v>1.9761508589479938E-4</v>
      </c>
      <c r="W6" s="94">
        <v>7.1997160493066602E-4</v>
      </c>
      <c r="X6" s="94">
        <v>6.9602063441222967E-4</v>
      </c>
      <c r="Y6" s="94">
        <v>6.8606860343184851E-4</v>
      </c>
    </row>
  </sheetData>
  <mergeCells count="1">
    <mergeCell ref="A1:XF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BEE6-8AE1-48EA-B5D7-06C9319FD360}">
  <dimension ref="A1:AG7"/>
  <sheetViews>
    <sheetView tabSelected="1" workbookViewId="0">
      <pane xSplit="1" ySplit="1" topLeftCell="B2" activePane="bottomRight" state="frozen"/>
      <selection activeCell="AD33" sqref="AD33"/>
      <selection pane="topRight" activeCell="AD33" sqref="AD33"/>
      <selection pane="bottomLeft" activeCell="AD33" sqref="AD33"/>
      <selection pane="bottomRight" activeCell="P15" sqref="P15"/>
    </sheetView>
  </sheetViews>
  <sheetFormatPr defaultRowHeight="12.75" x14ac:dyDescent="0.2"/>
  <cols>
    <col min="1" max="1" width="9" customWidth="1"/>
    <col min="2" max="2" width="8.7109375" style="75" customWidth="1"/>
    <col min="3" max="3" width="8" style="75" customWidth="1"/>
    <col min="4" max="4" width="8.85546875" style="75" customWidth="1"/>
    <col min="5" max="5" width="9" style="77" customWidth="1"/>
    <col min="6" max="6" width="8.42578125" style="75" customWidth="1"/>
    <col min="7" max="7" width="8.5703125" style="75" customWidth="1"/>
    <col min="8" max="8" width="8.42578125" style="75" customWidth="1"/>
    <col min="9" max="10" width="6.7109375" bestFit="1" customWidth="1"/>
    <col min="11" max="14" width="6.140625" customWidth="1"/>
    <col min="15" max="15" width="6.7109375" bestFit="1" customWidth="1"/>
    <col min="16" max="16" width="6.140625" customWidth="1"/>
    <col min="17" max="17" width="8.42578125" style="75" customWidth="1"/>
    <col min="18" max="18" width="8.7109375" style="47" customWidth="1"/>
    <col min="19" max="19" width="8.42578125" style="75" customWidth="1"/>
    <col min="20" max="20" width="8.7109375" style="75" customWidth="1"/>
    <col min="21" max="21" width="8" style="75" customWidth="1"/>
    <col min="22" max="22" width="8.140625" style="75" customWidth="1"/>
    <col min="23" max="23" width="8.42578125" style="75" customWidth="1"/>
    <col min="24" max="24" width="8.7109375" style="75" customWidth="1"/>
    <col min="25" max="25" width="8.42578125" style="75" customWidth="1"/>
    <col min="26" max="27" width="9.140625" style="76"/>
    <col min="28" max="28" width="8.28515625" style="75" customWidth="1"/>
    <col min="29" max="30" width="8.140625" style="75" customWidth="1"/>
    <col min="31" max="33" width="7.85546875" style="75" bestFit="1" customWidth="1"/>
  </cols>
  <sheetData>
    <row r="1" spans="1:33" ht="42.75" thickBot="1" x14ac:dyDescent="0.25">
      <c r="A1" s="1" t="s">
        <v>138</v>
      </c>
      <c r="B1" s="84" t="s">
        <v>223</v>
      </c>
      <c r="C1" s="84" t="s">
        <v>222</v>
      </c>
      <c r="D1" s="84" t="s">
        <v>221</v>
      </c>
      <c r="E1" s="86" t="s">
        <v>225</v>
      </c>
      <c r="F1" s="84" t="s">
        <v>219</v>
      </c>
      <c r="G1" s="84" t="s">
        <v>218</v>
      </c>
      <c r="H1" s="64" t="s">
        <v>215</v>
      </c>
      <c r="I1" s="1"/>
      <c r="J1" s="1"/>
      <c r="K1" s="1"/>
      <c r="L1" s="1"/>
      <c r="M1" s="1"/>
      <c r="N1" s="1"/>
      <c r="O1" s="1"/>
      <c r="P1" s="1"/>
      <c r="Q1" s="84" t="s">
        <v>216</v>
      </c>
      <c r="R1" s="2" t="s">
        <v>125</v>
      </c>
      <c r="S1" s="84" t="s">
        <v>214</v>
      </c>
      <c r="T1" s="84" t="s">
        <v>213</v>
      </c>
      <c r="U1" s="84" t="s">
        <v>212</v>
      </c>
      <c r="V1" s="84" t="s">
        <v>211</v>
      </c>
      <c r="W1" s="84" t="s">
        <v>210</v>
      </c>
      <c r="X1" s="84" t="s">
        <v>209</v>
      </c>
      <c r="Y1" s="84" t="s">
        <v>208</v>
      </c>
      <c r="Z1" s="85" t="s">
        <v>19</v>
      </c>
      <c r="AA1" s="85" t="s">
        <v>15</v>
      </c>
      <c r="AB1" s="84" t="s">
        <v>207</v>
      </c>
      <c r="AC1" s="84" t="s">
        <v>206</v>
      </c>
      <c r="AD1" s="84" t="s">
        <v>205</v>
      </c>
      <c r="AE1" s="84" t="s">
        <v>204</v>
      </c>
      <c r="AF1" s="84" t="s">
        <v>203</v>
      </c>
      <c r="AG1" s="84" t="s">
        <v>202</v>
      </c>
    </row>
    <row r="2" spans="1:33" x14ac:dyDescent="0.2">
      <c r="A2" s="83"/>
      <c r="B2" s="79"/>
      <c r="C2" s="82"/>
      <c r="D2" s="79"/>
      <c r="E2" s="81"/>
      <c r="F2" s="79"/>
      <c r="G2" s="79"/>
      <c r="H2" s="79"/>
      <c r="I2" s="80"/>
      <c r="J2" s="80"/>
      <c r="K2" s="80"/>
      <c r="L2" s="80"/>
      <c r="M2" s="80"/>
      <c r="N2" s="80"/>
      <c r="O2" s="80"/>
      <c r="P2" s="80"/>
      <c r="Q2" s="79"/>
      <c r="R2" s="100"/>
      <c r="S2" s="79"/>
      <c r="T2" s="79"/>
      <c r="U2" s="79"/>
      <c r="V2" s="79"/>
      <c r="W2" s="79"/>
      <c r="X2" s="79"/>
      <c r="Y2" s="79"/>
      <c r="AB2" s="79"/>
      <c r="AC2" s="79"/>
      <c r="AD2" s="79"/>
      <c r="AE2" s="79"/>
      <c r="AF2" s="79"/>
      <c r="AG2" s="79"/>
    </row>
    <row r="3" spans="1:33" x14ac:dyDescent="0.2">
      <c r="A3" s="4" t="s">
        <v>119</v>
      </c>
      <c r="B3" s="89">
        <v>6.8083941649433015</v>
      </c>
      <c r="C3" s="89">
        <v>1.6211425121318823</v>
      </c>
      <c r="D3" s="89">
        <v>0.47210551747456825</v>
      </c>
      <c r="E3" s="89">
        <v>87.009483081939791</v>
      </c>
      <c r="F3" s="93">
        <v>9.2601868635170226E-2</v>
      </c>
      <c r="G3" s="89">
        <v>8.5104162580013956</v>
      </c>
      <c r="H3" s="89">
        <v>7.4730837431074608</v>
      </c>
      <c r="I3" s="78"/>
      <c r="J3" s="78"/>
      <c r="K3" s="78"/>
      <c r="L3" s="78"/>
      <c r="M3" s="78"/>
      <c r="N3" s="78"/>
      <c r="O3" s="78"/>
      <c r="P3" s="78"/>
      <c r="Q3" s="89">
        <v>5.1828428250323606</v>
      </c>
      <c r="R3" s="89">
        <v>8.5670979235137477</v>
      </c>
      <c r="S3" s="89">
        <v>9.0065109700446619</v>
      </c>
      <c r="T3" s="95">
        <v>2.6599261775582177E-3</v>
      </c>
      <c r="U3" s="95">
        <v>-0.30153012414905361</v>
      </c>
      <c r="V3" s="93">
        <v>3.9355798655112162E-5</v>
      </c>
      <c r="W3" s="93">
        <v>-0.11495192946353468</v>
      </c>
      <c r="X3" s="95">
        <v>3.5255143564912189E-3</v>
      </c>
      <c r="Y3" s="93">
        <v>-1.2306694165169319E-2</v>
      </c>
      <c r="Z3" s="95">
        <v>-0.1423420427192589</v>
      </c>
      <c r="AA3" s="93">
        <v>9.1620583123312716E-4</v>
      </c>
      <c r="AB3" s="99">
        <v>1.0218136910593813E-2</v>
      </c>
      <c r="AC3" s="95">
        <v>7.214398884993329E-3</v>
      </c>
      <c r="AD3" s="93">
        <v>4.7375034947154529E-4</v>
      </c>
      <c r="AE3" s="93">
        <v>3.7607407404632051E-4</v>
      </c>
      <c r="AF3" s="93">
        <v>3.8403161398711295E-4</v>
      </c>
      <c r="AG3" s="93">
        <v>3.9102016677707919E-4</v>
      </c>
    </row>
    <row r="4" spans="1:33" x14ac:dyDescent="0.2">
      <c r="A4" s="7" t="s">
        <v>101</v>
      </c>
      <c r="B4" s="92">
        <v>600.76139740785652</v>
      </c>
      <c r="C4" s="92">
        <v>1285.9047803898579</v>
      </c>
      <c r="D4" s="90">
        <v>0.25836709932600438</v>
      </c>
      <c r="E4" s="90">
        <v>342.90020818596071</v>
      </c>
      <c r="F4" s="90">
        <v>0.33283599822539472</v>
      </c>
      <c r="G4" s="90">
        <v>44.117022399153925</v>
      </c>
      <c r="H4" s="89">
        <v>1468.2712041597606</v>
      </c>
      <c r="I4" s="78"/>
      <c r="J4" s="78"/>
      <c r="K4" s="78"/>
      <c r="L4" s="78"/>
      <c r="M4" s="78"/>
      <c r="N4" s="78"/>
      <c r="O4" s="78"/>
      <c r="P4" s="78"/>
      <c r="Q4" s="92">
        <v>961.13384057171663</v>
      </c>
      <c r="R4" s="92">
        <v>1624.6887978038822</v>
      </c>
      <c r="S4" s="92">
        <v>1617.7978986228868</v>
      </c>
      <c r="T4" s="96">
        <v>2.3198475468770883E-2</v>
      </c>
      <c r="U4" s="96">
        <v>4.7777342426997222</v>
      </c>
      <c r="V4" s="94">
        <v>1.870766122173053E-3</v>
      </c>
      <c r="W4" s="94">
        <v>-7.7714388063294934E-2</v>
      </c>
      <c r="X4" s="96">
        <v>1.3248623626792386E-2</v>
      </c>
      <c r="Y4" s="90">
        <v>1.8498458995991281E-2</v>
      </c>
      <c r="Z4" s="98">
        <v>-0.16275870339576703</v>
      </c>
      <c r="AA4" s="94">
        <v>3.23045814718813E-3</v>
      </c>
      <c r="AB4" s="96">
        <v>1.5475069191594522</v>
      </c>
      <c r="AC4" s="98">
        <v>5.7650961480762977E-3</v>
      </c>
      <c r="AD4" s="94">
        <v>1.5615104140667113E-4</v>
      </c>
      <c r="AE4" s="94">
        <v>4.8367769247190161E-4</v>
      </c>
      <c r="AF4" s="94">
        <v>5.1105437214893346E-4</v>
      </c>
      <c r="AG4" s="94">
        <v>5.4240843165668921E-4</v>
      </c>
    </row>
    <row r="5" spans="1:33" x14ac:dyDescent="0.2">
      <c r="A5" s="7" t="s">
        <v>150</v>
      </c>
      <c r="B5" s="92">
        <v>574.40758871987452</v>
      </c>
      <c r="C5" s="92">
        <v>1162.4665051935403</v>
      </c>
      <c r="D5" s="90">
        <v>0.37282258867105483</v>
      </c>
      <c r="E5" s="90">
        <v>264.90277534589916</v>
      </c>
      <c r="F5" s="90">
        <v>2.3848099517842525</v>
      </c>
      <c r="G5" s="90">
        <v>163.19829101014878</v>
      </c>
      <c r="H5" s="89">
        <v>1088.2467316707359</v>
      </c>
      <c r="I5" s="78"/>
      <c r="J5" s="78"/>
      <c r="K5" s="78"/>
      <c r="L5" s="78"/>
      <c r="M5" s="78"/>
      <c r="N5" s="78"/>
      <c r="O5" s="78"/>
      <c r="P5" s="78"/>
      <c r="Q5" s="92">
        <v>750.0951685272081</v>
      </c>
      <c r="R5" s="92">
        <v>1167.2091856807263</v>
      </c>
      <c r="S5" s="92">
        <v>1252.6476133512326</v>
      </c>
      <c r="T5" s="96">
        <v>0.10689349052963572</v>
      </c>
      <c r="U5" s="96">
        <v>4.62181363607802</v>
      </c>
      <c r="V5" s="94">
        <v>2.0262716291947736E-3</v>
      </c>
      <c r="W5" s="94">
        <v>-8.3178845735098317E-2</v>
      </c>
      <c r="X5" s="96">
        <v>2.1039147577540836E-2</v>
      </c>
      <c r="Y5" s="90">
        <v>1.1285042263720724E-2</v>
      </c>
      <c r="Z5" s="98">
        <v>-0.21263589547535852</v>
      </c>
      <c r="AA5" s="94">
        <v>3.4759231839477044E-3</v>
      </c>
      <c r="AB5" s="96">
        <v>2.5858530029339155</v>
      </c>
      <c r="AC5" s="98">
        <v>3.0799057294552843E-3</v>
      </c>
      <c r="AD5" s="94">
        <v>7.9398670460756508E-5</v>
      </c>
      <c r="AE5" s="94">
        <v>3.1284979044111249E-4</v>
      </c>
      <c r="AF5" s="94">
        <v>3.0658547264427941E-4</v>
      </c>
      <c r="AG5" s="94">
        <v>3.0688413465033689E-4</v>
      </c>
    </row>
    <row r="6" spans="1:33" x14ac:dyDescent="0.2">
      <c r="A6" s="7" t="s">
        <v>137</v>
      </c>
      <c r="B6" s="92" t="s">
        <v>25</v>
      </c>
      <c r="C6" s="92">
        <v>925.52297389505043</v>
      </c>
      <c r="D6" s="90">
        <v>3.4221930619264249</v>
      </c>
      <c r="E6" s="90">
        <v>145.64208063306796</v>
      </c>
      <c r="F6" s="90">
        <v>122.41438340169292</v>
      </c>
      <c r="G6" s="92">
        <v>669.92934245120887</v>
      </c>
      <c r="H6" s="89">
        <v>1608.6478960697357</v>
      </c>
      <c r="I6" s="78"/>
      <c r="J6" s="78"/>
      <c r="K6" s="78"/>
      <c r="L6" s="78"/>
      <c r="M6" s="78"/>
      <c r="N6" s="78"/>
      <c r="O6" s="78"/>
      <c r="P6" s="78"/>
      <c r="Q6" s="92">
        <v>1141.8017523998653</v>
      </c>
      <c r="R6" s="92">
        <v>1918.2356521599154</v>
      </c>
      <c r="S6" s="92">
        <v>2074.1935194568314</v>
      </c>
      <c r="T6" s="96">
        <v>11.939699257157249</v>
      </c>
      <c r="U6" s="97">
        <v>72.138073410519652</v>
      </c>
      <c r="V6" s="90">
        <v>1.5670375531289225E-2</v>
      </c>
      <c r="W6" s="94">
        <v>-4.6828249115698252E-2</v>
      </c>
      <c r="X6" s="96">
        <v>2.6670354171422751E-2</v>
      </c>
      <c r="Y6" s="90">
        <v>0.10492875168659331</v>
      </c>
      <c r="Z6" s="98">
        <v>-0.21038205195674164</v>
      </c>
      <c r="AA6" s="90">
        <v>1.339563447072881E-2</v>
      </c>
      <c r="AB6" s="96">
        <v>6.4942246843630365</v>
      </c>
      <c r="AC6" s="98">
        <v>2.9444251351813532E-3</v>
      </c>
      <c r="AD6" s="94">
        <v>1.9761508589479938E-4</v>
      </c>
      <c r="AE6" s="94">
        <v>7.1997160493066602E-4</v>
      </c>
      <c r="AF6" s="94">
        <v>6.9602063441222967E-4</v>
      </c>
      <c r="AG6" s="94">
        <v>6.8606860343184851E-4</v>
      </c>
    </row>
    <row r="7" spans="1:33" x14ac:dyDescent="0.2">
      <c r="R7" s="75"/>
      <c r="Y7" s="76"/>
      <c r="AA7" s="75"/>
      <c r="AG7"/>
    </row>
  </sheetData>
  <conditionalFormatting sqref="R7:R1048576">
    <cfRule type="cellIs" dxfId="1" priority="1" operator="lessThan">
      <formula>$AI$2</formula>
    </cfRule>
    <cfRule type="cellIs" dxfId="0" priority="2" operator="greaterThan">
      <formula>$AI$3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31"/>
  <sheetViews>
    <sheetView topLeftCell="B1" zoomScale="110" zoomScaleNormal="110" workbookViewId="0">
      <selection activeCell="J3" sqref="J3"/>
    </sheetView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135</v>
      </c>
      <c r="I1" s="1" t="s">
        <v>70</v>
      </c>
      <c r="J1" s="1" t="s">
        <v>129</v>
      </c>
      <c r="K1" s="1" t="s">
        <v>128</v>
      </c>
      <c r="L1" s="1" t="s">
        <v>65</v>
      </c>
      <c r="M1" s="1" t="s">
        <v>64</v>
      </c>
      <c r="N1" s="2" t="s">
        <v>117</v>
      </c>
      <c r="O1" s="1" t="s">
        <v>155</v>
      </c>
      <c r="P1" s="2" t="s">
        <v>46</v>
      </c>
      <c r="Q1" s="1" t="s">
        <v>21</v>
      </c>
      <c r="R1" s="1" t="s">
        <v>33</v>
      </c>
      <c r="S1" s="1" t="s">
        <v>123</v>
      </c>
      <c r="T1" s="1" t="s">
        <v>26</v>
      </c>
      <c r="U1" s="1" t="s">
        <v>27</v>
      </c>
      <c r="V1" s="1" t="s">
        <v>146</v>
      </c>
      <c r="W1" s="1" t="s">
        <v>124</v>
      </c>
      <c r="X1" s="1" t="s">
        <v>45</v>
      </c>
      <c r="Y1" s="1" t="s">
        <v>44</v>
      </c>
      <c r="Z1" s="1" t="s">
        <v>1</v>
      </c>
      <c r="AA1" s="1" t="s">
        <v>17</v>
      </c>
      <c r="AB1" s="1" t="s">
        <v>112</v>
      </c>
      <c r="AC1" s="1" t="s">
        <v>96</v>
      </c>
      <c r="AD1" s="1" t="s">
        <v>95</v>
      </c>
      <c r="AE1" s="1" t="s">
        <v>126</v>
      </c>
    </row>
    <row r="2" spans="1:31" x14ac:dyDescent="0.2">
      <c r="A2" s="3">
        <v>1</v>
      </c>
      <c r="B2" s="4" t="s">
        <v>16</v>
      </c>
      <c r="C2" s="5" t="s">
        <v>132</v>
      </c>
      <c r="D2" s="4" t="s">
        <v>6</v>
      </c>
      <c r="E2" s="4" t="s">
        <v>132</v>
      </c>
      <c r="F2" s="4" t="s">
        <v>22</v>
      </c>
      <c r="G2" s="4" t="s">
        <v>118</v>
      </c>
      <c r="H2" s="6">
        <v>16619.672240893098</v>
      </c>
      <c r="I2" s="6">
        <v>986.700766339339</v>
      </c>
      <c r="J2" s="6">
        <v>12043.845283537101</v>
      </c>
      <c r="K2" s="6">
        <v>20384107.593359102</v>
      </c>
      <c r="L2" s="6">
        <v>21977.5732715411</v>
      </c>
      <c r="M2" s="6">
        <v>3906249.8821670199</v>
      </c>
      <c r="N2" s="6">
        <v>38.6667199600749</v>
      </c>
      <c r="O2" s="6">
        <v>773.35429442223301</v>
      </c>
      <c r="P2" s="6">
        <v>4108.59079396178</v>
      </c>
      <c r="Q2" s="6">
        <v>50064.921912912003</v>
      </c>
      <c r="R2" s="6">
        <v>1259.3888674832399</v>
      </c>
      <c r="S2" s="6">
        <v>47667.031572083499</v>
      </c>
      <c r="T2" s="6">
        <v>234.00192496923501</v>
      </c>
      <c r="U2" s="6">
        <v>169.33433825930501</v>
      </c>
      <c r="V2" s="6">
        <v>550.01061822557006</v>
      </c>
      <c r="W2" s="6">
        <v>12316.642323104599</v>
      </c>
      <c r="X2" s="6">
        <v>70211.724776416799</v>
      </c>
      <c r="Y2" s="6">
        <v>37.300540686165299</v>
      </c>
      <c r="Z2" s="6">
        <v>166.00098835935299</v>
      </c>
      <c r="AA2" s="6">
        <v>340.79331096284</v>
      </c>
      <c r="AB2" s="6">
        <v>37.333383640069798</v>
      </c>
      <c r="AC2" s="6">
        <v>436.00672467814798</v>
      </c>
      <c r="AD2" s="6">
        <v>349.33760917239198</v>
      </c>
      <c r="AE2" s="6">
        <v>908.02911067510297</v>
      </c>
    </row>
    <row r="3" spans="1:31" x14ac:dyDescent="0.2">
      <c r="A3" s="3">
        <v>2</v>
      </c>
      <c r="B3" s="7" t="s">
        <v>16</v>
      </c>
      <c r="C3" s="8" t="s">
        <v>132</v>
      </c>
      <c r="D3" s="7" t="s">
        <v>85</v>
      </c>
      <c r="E3" s="7" t="s">
        <v>132</v>
      </c>
      <c r="F3" s="7" t="s">
        <v>32</v>
      </c>
      <c r="G3" s="7" t="s">
        <v>118</v>
      </c>
      <c r="H3" s="9">
        <v>16897.9954800261</v>
      </c>
      <c r="I3" s="9">
        <v>1114.71023478604</v>
      </c>
      <c r="J3" s="9">
        <v>10086.226342367399</v>
      </c>
      <c r="K3" s="9">
        <v>21055919.276838101</v>
      </c>
      <c r="L3" s="9">
        <v>20625.612641009498</v>
      </c>
      <c r="M3" s="9">
        <v>4010694.5622907202</v>
      </c>
      <c r="N3" s="9">
        <v>34.000041113383901</v>
      </c>
      <c r="O3" s="9">
        <v>691.35007899936704</v>
      </c>
      <c r="P3" s="9">
        <v>3995.8925156893602</v>
      </c>
      <c r="Q3" s="9">
        <v>48698.205556718101</v>
      </c>
      <c r="R3" s="9">
        <v>1268.7231755714899</v>
      </c>
      <c r="S3" s="9">
        <v>47904.8750653073</v>
      </c>
      <c r="T3" s="9">
        <v>233.335245095716</v>
      </c>
      <c r="U3" s="9">
        <v>164.66761666548601</v>
      </c>
      <c r="V3" s="9">
        <v>534.67668161442703</v>
      </c>
      <c r="W3" s="9">
        <v>12251.9401589381</v>
      </c>
      <c r="X3" s="9">
        <v>66668.599961213695</v>
      </c>
      <c r="Y3" s="9">
        <v>48.6496301549885</v>
      </c>
      <c r="Z3" s="9">
        <v>149.33412359089499</v>
      </c>
      <c r="AA3" s="9">
        <v>342.93618334404903</v>
      </c>
      <c r="AB3" s="9">
        <v>24.666690233358</v>
      </c>
      <c r="AC3" s="9">
        <v>445.34037647293701</v>
      </c>
      <c r="AD3" s="9">
        <v>350.67097283957401</v>
      </c>
      <c r="AE3" s="9">
        <v>794.02208276795898</v>
      </c>
    </row>
    <row r="4" spans="1:31" x14ac:dyDescent="0.2">
      <c r="A4" s="3">
        <v>3</v>
      </c>
      <c r="B4" s="4" t="s">
        <v>16</v>
      </c>
      <c r="C4" s="5" t="s">
        <v>132</v>
      </c>
      <c r="D4" s="4" t="s">
        <v>5</v>
      </c>
      <c r="E4" s="4" t="s">
        <v>132</v>
      </c>
      <c r="F4" s="4" t="s">
        <v>77</v>
      </c>
      <c r="G4" s="4" t="s">
        <v>118</v>
      </c>
      <c r="H4" s="6">
        <v>16406.0954315013</v>
      </c>
      <c r="I4" s="6">
        <v>898.69497471966304</v>
      </c>
      <c r="J4" s="6">
        <v>10325.7352606729</v>
      </c>
      <c r="K4" s="6">
        <v>21656933.790650502</v>
      </c>
      <c r="L4" s="6">
        <v>19347.1322992641</v>
      </c>
      <c r="M4" s="6">
        <v>4014955.0006538001</v>
      </c>
      <c r="N4" s="6">
        <v>38.666720986745197</v>
      </c>
      <c r="O4" s="6">
        <v>664.68213184655303</v>
      </c>
      <c r="P4" s="6">
        <v>3811.1754449037298</v>
      </c>
      <c r="Q4" s="6">
        <v>49096.940410779898</v>
      </c>
      <c r="R4" s="6">
        <v>1216.7186785715</v>
      </c>
      <c r="S4" s="6">
        <v>48671.761228281102</v>
      </c>
      <c r="T4" s="6">
        <v>248.00219633984801</v>
      </c>
      <c r="U4" s="6">
        <v>125.33388521577299</v>
      </c>
      <c r="V4" s="6">
        <v>577.34503691800296</v>
      </c>
      <c r="W4" s="6">
        <v>12630.2599181203</v>
      </c>
      <c r="X4" s="6">
        <v>68017.465648516096</v>
      </c>
      <c r="Y4" s="6">
        <v>22.040171898903701</v>
      </c>
      <c r="Z4" s="6">
        <v>136.00065193648001</v>
      </c>
      <c r="AA4" s="6">
        <v>310.53805618681298</v>
      </c>
      <c r="AB4" s="6">
        <v>33.333373746717498</v>
      </c>
      <c r="AC4" s="6">
        <v>422.00624460590598</v>
      </c>
      <c r="AD4" s="6">
        <v>331.337179598028</v>
      </c>
      <c r="AE4" s="6">
        <v>802.02255906918401</v>
      </c>
    </row>
    <row r="5" spans="1:31" x14ac:dyDescent="0.2">
      <c r="A5" s="3">
        <v>4</v>
      </c>
      <c r="B5" s="7" t="s">
        <v>16</v>
      </c>
      <c r="C5" s="8" t="s">
        <v>132</v>
      </c>
      <c r="D5" s="7" t="s">
        <v>87</v>
      </c>
      <c r="E5" s="7" t="s">
        <v>132</v>
      </c>
      <c r="F5" s="7" t="s">
        <v>111</v>
      </c>
      <c r="G5" s="7" t="s">
        <v>118</v>
      </c>
      <c r="H5" s="9">
        <v>101367.286887336</v>
      </c>
      <c r="I5" s="9">
        <v>7534.6563045287703</v>
      </c>
      <c r="J5" s="9">
        <v>29599.345185873401</v>
      </c>
      <c r="K5" s="9">
        <v>20964635.610965401</v>
      </c>
      <c r="L5" s="9">
        <v>12971.898420342801</v>
      </c>
      <c r="M5" s="9">
        <v>3826385.1718726698</v>
      </c>
      <c r="N5" s="9">
        <v>97.333666067807997</v>
      </c>
      <c r="O5" s="9">
        <v>1043.3714701219201</v>
      </c>
      <c r="P5" s="9">
        <v>4917.5132392614196</v>
      </c>
      <c r="Q5" s="9">
        <v>54652.346573743504</v>
      </c>
      <c r="R5" s="9">
        <v>3370.3990755814202</v>
      </c>
      <c r="S5" s="9">
        <v>57566.501206337503</v>
      </c>
      <c r="T5" s="9">
        <v>1139.3789968729</v>
      </c>
      <c r="U5" s="9">
        <v>34628.805259588</v>
      </c>
      <c r="V5" s="9">
        <v>760.687075625033</v>
      </c>
      <c r="W5" s="9">
        <v>14277.1405895918</v>
      </c>
      <c r="X5" s="9">
        <v>71438.007660660704</v>
      </c>
      <c r="Y5" s="9">
        <v>46.754009005103399</v>
      </c>
      <c r="Z5" s="9">
        <v>364.00464787281697</v>
      </c>
      <c r="AA5" s="9">
        <v>319.42926663267298</v>
      </c>
      <c r="AB5" s="9">
        <v>35.333378366725903</v>
      </c>
      <c r="AC5" s="9">
        <v>175.33441250666101</v>
      </c>
      <c r="AD5" s="9">
        <v>154.00085311817301</v>
      </c>
      <c r="AE5" s="9">
        <v>399.33893056533998</v>
      </c>
    </row>
    <row r="6" spans="1:31" x14ac:dyDescent="0.2">
      <c r="A6" s="3">
        <v>5</v>
      </c>
      <c r="B6" s="4" t="s">
        <v>37</v>
      </c>
      <c r="C6" s="5" t="s">
        <v>132</v>
      </c>
      <c r="D6" s="4" t="s">
        <v>136</v>
      </c>
      <c r="E6" s="4" t="s">
        <v>132</v>
      </c>
      <c r="F6" s="4" t="s">
        <v>89</v>
      </c>
      <c r="G6" s="4" t="s">
        <v>118</v>
      </c>
      <c r="H6" s="6">
        <v>381846.21786372602</v>
      </c>
      <c r="I6" s="6">
        <v>119427.815343361</v>
      </c>
      <c r="J6" s="6">
        <v>223040.942214282</v>
      </c>
      <c r="K6" s="6">
        <v>21248532.449335601</v>
      </c>
      <c r="L6" s="6">
        <v>67835.083871837502</v>
      </c>
      <c r="M6" s="6">
        <v>4862640.8933499297</v>
      </c>
      <c r="N6" s="6">
        <v>234.66863153677801</v>
      </c>
      <c r="O6" s="6">
        <v>1665.43040808511</v>
      </c>
      <c r="P6" s="6">
        <v>6768.2697689256902</v>
      </c>
      <c r="Q6" s="6">
        <v>62983.876564553801</v>
      </c>
      <c r="R6" s="6">
        <v>176683.53644275799</v>
      </c>
      <c r="S6" s="6">
        <v>57092.212454162203</v>
      </c>
      <c r="T6" s="6">
        <v>134981.52901276501</v>
      </c>
      <c r="U6" s="6">
        <v>66258.704453083206</v>
      </c>
      <c r="V6" s="6">
        <v>62252.637383532099</v>
      </c>
      <c r="W6" s="6">
        <v>30720.998772998199</v>
      </c>
      <c r="X6" s="6">
        <v>74752.890264050104</v>
      </c>
      <c r="Y6" s="6">
        <v>2792.4564120449299</v>
      </c>
      <c r="Z6" s="6">
        <v>210380.36573088801</v>
      </c>
      <c r="AA6" s="6">
        <v>25671.4794315244</v>
      </c>
      <c r="AB6" s="6">
        <v>36806.057587777897</v>
      </c>
      <c r="AC6" s="6">
        <v>98806.916055630194</v>
      </c>
      <c r="AD6" s="6">
        <v>80897.822079086895</v>
      </c>
      <c r="AE6" s="6">
        <v>212597.24288184999</v>
      </c>
    </row>
    <row r="7" spans="1:31" x14ac:dyDescent="0.2">
      <c r="A7" s="3">
        <v>6</v>
      </c>
      <c r="B7" s="7" t="s">
        <v>52</v>
      </c>
      <c r="C7" s="8" t="s">
        <v>132</v>
      </c>
      <c r="D7" s="7" t="s">
        <v>86</v>
      </c>
      <c r="E7" s="7" t="s">
        <v>132</v>
      </c>
      <c r="F7" s="7" t="s">
        <v>113</v>
      </c>
      <c r="G7" s="7" t="s">
        <v>118</v>
      </c>
      <c r="H7" s="9">
        <v>989018.44471603003</v>
      </c>
      <c r="I7" s="9">
        <v>490223.93475310801</v>
      </c>
      <c r="J7" s="9">
        <v>687358.42799276696</v>
      </c>
      <c r="K7" s="9">
        <v>22814417.692844499</v>
      </c>
      <c r="L7" s="9">
        <v>219432.156772869</v>
      </c>
      <c r="M7" s="9">
        <v>8089226.3414242398</v>
      </c>
      <c r="N7" s="9">
        <v>790.68863318591298</v>
      </c>
      <c r="O7" s="9">
        <v>3383.0687562879202</v>
      </c>
      <c r="P7" s="9">
        <v>13285.5090870474</v>
      </c>
      <c r="Q7" s="9">
        <v>85904.232797178993</v>
      </c>
      <c r="R7" s="9">
        <v>755949.90564434906</v>
      </c>
      <c r="S7" s="9">
        <v>64060.412091316197</v>
      </c>
      <c r="T7" s="9">
        <v>470562.343885888</v>
      </c>
      <c r="U7" s="9">
        <v>146303.458756793</v>
      </c>
      <c r="V7" s="9">
        <v>267895.94187454297</v>
      </c>
      <c r="W7" s="9">
        <v>82910.126021599906</v>
      </c>
      <c r="X7" s="9">
        <v>84958.099254700399</v>
      </c>
      <c r="Y7" s="9">
        <v>9372.4764857515202</v>
      </c>
      <c r="Z7" s="9">
        <v>925475.35316958395</v>
      </c>
      <c r="AA7" s="9">
        <v>98008.437114492699</v>
      </c>
      <c r="AB7" s="9">
        <v>140253.209876793</v>
      </c>
      <c r="AC7" s="9">
        <v>419414.94930008601</v>
      </c>
      <c r="AD7" s="9">
        <v>345308.26198999502</v>
      </c>
      <c r="AE7" s="9">
        <v>809991.90779660002</v>
      </c>
    </row>
    <row r="8" spans="1:31" x14ac:dyDescent="0.2">
      <c r="A8" s="3">
        <v>7</v>
      </c>
      <c r="B8" s="4" t="s">
        <v>41</v>
      </c>
      <c r="C8" s="5" t="s">
        <v>132</v>
      </c>
      <c r="D8" s="4" t="s">
        <v>116</v>
      </c>
      <c r="E8" s="4" t="s">
        <v>132</v>
      </c>
      <c r="F8" s="4" t="s">
        <v>144</v>
      </c>
      <c r="G8" s="4" t="s">
        <v>118</v>
      </c>
      <c r="H8" s="6">
        <v>2352548.6931858598</v>
      </c>
      <c r="I8" s="6">
        <v>1128545.04178096</v>
      </c>
      <c r="J8" s="6">
        <v>1571124.8697864099</v>
      </c>
      <c r="K8" s="6">
        <v>25027623.574505601</v>
      </c>
      <c r="L8" s="6">
        <v>555324.08149459295</v>
      </c>
      <c r="M8" s="6">
        <v>13889150.2135514</v>
      </c>
      <c r="N8" s="6">
        <v>1804.1141403694701</v>
      </c>
      <c r="O8" s="6">
        <v>7601.3578163971197</v>
      </c>
      <c r="P8" s="6">
        <v>25519.450003460399</v>
      </c>
      <c r="Q8" s="6">
        <v>140214.96280135901</v>
      </c>
      <c r="R8" s="6">
        <v>1713849.9914672801</v>
      </c>
      <c r="S8" s="6">
        <v>82420.200112860097</v>
      </c>
      <c r="T8" s="6">
        <v>1293600.32029121</v>
      </c>
      <c r="U8" s="6">
        <v>320703.25279544003</v>
      </c>
      <c r="V8" s="6">
        <v>636935.26046370505</v>
      </c>
      <c r="W8" s="6">
        <v>148157.55145389299</v>
      </c>
      <c r="X8" s="6">
        <v>123071.90022876801</v>
      </c>
      <c r="Y8" s="6">
        <v>25555.7917557158</v>
      </c>
      <c r="Z8" s="6">
        <v>2380367.8607865898</v>
      </c>
      <c r="AA8" s="6">
        <v>252218.872844984</v>
      </c>
      <c r="AB8" s="6">
        <v>366312.403367583</v>
      </c>
      <c r="AC8" s="6">
        <v>1023404.0353341</v>
      </c>
      <c r="AD8" s="6">
        <v>808638.493725079</v>
      </c>
      <c r="AE8" s="6">
        <v>2145233.1528363801</v>
      </c>
    </row>
    <row r="9" spans="1:31" x14ac:dyDescent="0.2">
      <c r="A9" s="3">
        <v>8</v>
      </c>
      <c r="B9" s="7" t="s">
        <v>105</v>
      </c>
      <c r="C9" s="8" t="s">
        <v>132</v>
      </c>
      <c r="D9" s="7" t="s">
        <v>157</v>
      </c>
      <c r="E9" s="7" t="s">
        <v>132</v>
      </c>
      <c r="F9" s="7" t="s">
        <v>90</v>
      </c>
      <c r="G9" s="7" t="s">
        <v>118</v>
      </c>
      <c r="H9" s="9">
        <v>9289310.9407333396</v>
      </c>
      <c r="I9" s="9">
        <v>4974357.4036607202</v>
      </c>
      <c r="J9" s="9">
        <v>6396109.8540316196</v>
      </c>
      <c r="K9" s="9">
        <v>36700671.186854497</v>
      </c>
      <c r="L9" s="9">
        <v>2309401.5663676099</v>
      </c>
      <c r="M9" s="9">
        <v>43987101.161419101</v>
      </c>
      <c r="N9" s="9">
        <v>6817.6280073832504</v>
      </c>
      <c r="O9" s="9">
        <v>25906.210931335099</v>
      </c>
      <c r="P9" s="9">
        <v>88060.610381369697</v>
      </c>
      <c r="Q9" s="9">
        <v>400965.46575157502</v>
      </c>
      <c r="R9" s="9">
        <v>7485164.9343722602</v>
      </c>
      <c r="S9" s="9">
        <v>175096.33242087401</v>
      </c>
      <c r="T9" s="9">
        <v>5253281.1174500296</v>
      </c>
      <c r="U9" s="9">
        <v>1186845.8996641501</v>
      </c>
      <c r="V9" s="9">
        <v>2943636.4718841002</v>
      </c>
      <c r="W9" s="9">
        <v>573967.17954087094</v>
      </c>
      <c r="X9" s="9">
        <v>281572.525009604</v>
      </c>
      <c r="Y9" s="9">
        <v>98625.022733909107</v>
      </c>
      <c r="Z9" s="9">
        <v>10112002.964422701</v>
      </c>
      <c r="AA9" s="9">
        <v>984514.59160368901</v>
      </c>
      <c r="AB9" s="9">
        <v>1467741.9113704399</v>
      </c>
      <c r="AC9" s="9">
        <v>4291697.4802526403</v>
      </c>
      <c r="AD9" s="9">
        <v>3440632.5155664501</v>
      </c>
      <c r="AE9" s="9">
        <v>8273916.6018581502</v>
      </c>
    </row>
    <row r="10" spans="1:31" x14ac:dyDescent="0.2">
      <c r="A10" s="3">
        <v>9</v>
      </c>
      <c r="B10" s="4" t="s">
        <v>3</v>
      </c>
      <c r="C10" s="5" t="s">
        <v>132</v>
      </c>
      <c r="D10" s="4" t="s">
        <v>72</v>
      </c>
      <c r="E10" s="4" t="s">
        <v>132</v>
      </c>
      <c r="F10" s="4" t="s">
        <v>109</v>
      </c>
      <c r="G10" s="4" t="s">
        <v>118</v>
      </c>
      <c r="H10" s="6">
        <v>22756225.040765502</v>
      </c>
      <c r="I10" s="6">
        <v>12795090.122633699</v>
      </c>
      <c r="J10" s="6">
        <v>15708084.9833984</v>
      </c>
      <c r="K10" s="6">
        <v>57900365.684237197</v>
      </c>
      <c r="L10" s="6">
        <v>5435826.03038124</v>
      </c>
      <c r="M10" s="6">
        <v>102981963.271786</v>
      </c>
      <c r="N10" s="6">
        <v>16468.822639027701</v>
      </c>
      <c r="O10" s="6">
        <v>60616.500697133903</v>
      </c>
      <c r="P10" s="6">
        <v>206168.01273103501</v>
      </c>
      <c r="Q10" s="6">
        <v>891988.68303173198</v>
      </c>
      <c r="R10" s="6">
        <v>19093831.9144863</v>
      </c>
      <c r="S10" s="6">
        <v>369851.33596939198</v>
      </c>
      <c r="T10" s="6">
        <v>12204436.139795</v>
      </c>
      <c r="U10" s="6">
        <v>2836248.5942087998</v>
      </c>
      <c r="V10" s="6">
        <v>7118869.3204132402</v>
      </c>
      <c r="W10" s="6">
        <v>1399291.8644445001</v>
      </c>
      <c r="X10" s="6">
        <v>614826.94185935601</v>
      </c>
      <c r="Y10" s="6">
        <v>230567.882506311</v>
      </c>
      <c r="Z10" s="6">
        <v>24919947.877243601</v>
      </c>
      <c r="AA10" s="6">
        <v>2939516.0424766098</v>
      </c>
      <c r="AB10" s="6">
        <v>3656505.3982188702</v>
      </c>
      <c r="AC10" s="6">
        <v>10424158.4363377</v>
      </c>
      <c r="AD10" s="6">
        <v>8514785.7580011096</v>
      </c>
      <c r="AE10" s="6">
        <v>20107389.6997892</v>
      </c>
    </row>
    <row r="11" spans="1:31" x14ac:dyDescent="0.2">
      <c r="A11" s="3">
        <v>10</v>
      </c>
      <c r="B11" s="7" t="s">
        <v>88</v>
      </c>
      <c r="C11" s="8" t="s">
        <v>132</v>
      </c>
      <c r="D11" s="7" t="s">
        <v>4</v>
      </c>
      <c r="E11" s="7" t="s">
        <v>132</v>
      </c>
      <c r="F11" s="7" t="s">
        <v>29</v>
      </c>
      <c r="G11" s="7" t="s">
        <v>118</v>
      </c>
      <c r="H11" s="9">
        <v>85709203.834169</v>
      </c>
      <c r="I11" s="9">
        <v>51507822.604870401</v>
      </c>
      <c r="J11" s="9">
        <v>64312192.179270297</v>
      </c>
      <c r="K11" s="9">
        <v>155233488.95897701</v>
      </c>
      <c r="L11" s="9">
        <v>19970989.473237</v>
      </c>
      <c r="M11" s="9">
        <v>385755435.04815698</v>
      </c>
      <c r="N11" s="9">
        <v>64351.290288114797</v>
      </c>
      <c r="O11" s="9">
        <v>232738.10073311001</v>
      </c>
      <c r="P11" s="9">
        <v>783890.62397224002</v>
      </c>
      <c r="Q11" s="9">
        <v>3722607.9238986499</v>
      </c>
      <c r="R11" s="9">
        <v>79075276.882211104</v>
      </c>
      <c r="S11" s="9">
        <v>1412601.6376964999</v>
      </c>
      <c r="T11" s="9">
        <v>46369455.235739</v>
      </c>
      <c r="U11" s="9">
        <v>10056915.727084899</v>
      </c>
      <c r="V11" s="9">
        <v>26911453.775298201</v>
      </c>
      <c r="W11" s="9">
        <v>5601613.2625101497</v>
      </c>
      <c r="X11" s="9">
        <v>2534040.22736606</v>
      </c>
      <c r="Y11" s="9">
        <v>859213.77406587498</v>
      </c>
      <c r="Z11" s="9">
        <v>95960672.8330286</v>
      </c>
      <c r="AA11" s="9">
        <v>12068451.5210439</v>
      </c>
      <c r="AB11" s="9">
        <v>13358232.3122642</v>
      </c>
      <c r="AC11" s="9">
        <v>37246703.223731399</v>
      </c>
      <c r="AD11" s="9">
        <v>32195777.427941799</v>
      </c>
      <c r="AE11" s="9">
        <v>77089855.041466698</v>
      </c>
    </row>
    <row r="12" spans="1:31" x14ac:dyDescent="0.2">
      <c r="A12" s="3">
        <v>11</v>
      </c>
      <c r="B12" s="10" t="s">
        <v>83</v>
      </c>
      <c r="C12" s="3" t="s">
        <v>132</v>
      </c>
      <c r="D12" s="10" t="s">
        <v>4</v>
      </c>
      <c r="E12" s="10" t="s">
        <v>132</v>
      </c>
      <c r="F12" s="10" t="s">
        <v>132</v>
      </c>
      <c r="G12" s="10" t="s">
        <v>132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56</v>
      </c>
      <c r="C13" s="8" t="s">
        <v>132</v>
      </c>
      <c r="D13" s="7" t="s">
        <v>104</v>
      </c>
      <c r="E13" s="7" t="s">
        <v>132</v>
      </c>
      <c r="F13" s="7" t="s">
        <v>147</v>
      </c>
      <c r="G13" s="7" t="s">
        <v>118</v>
      </c>
      <c r="H13" s="9">
        <v>388319.54061543703</v>
      </c>
      <c r="I13" s="9">
        <v>172485.99667356801</v>
      </c>
      <c r="J13" s="9">
        <v>252419.71833217799</v>
      </c>
      <c r="K13" s="9">
        <v>20243735.299532201</v>
      </c>
      <c r="L13" s="9">
        <v>89688.900925889306</v>
      </c>
      <c r="M13" s="9">
        <v>5316629.9746557204</v>
      </c>
      <c r="N13" s="9">
        <v>516.00931950165705</v>
      </c>
      <c r="O13" s="9">
        <v>2198.1694557893902</v>
      </c>
      <c r="P13" s="9">
        <v>9339.0546910846406</v>
      </c>
      <c r="Q13" s="9">
        <v>64872.300195064701</v>
      </c>
      <c r="R13" s="9">
        <v>252116.27084434699</v>
      </c>
      <c r="S13" s="9">
        <v>51404.526260660103</v>
      </c>
      <c r="T13" s="9">
        <v>190832.56920887399</v>
      </c>
      <c r="U13" s="9">
        <v>80228.716516796296</v>
      </c>
      <c r="V13" s="9">
        <v>93602.453958490398</v>
      </c>
      <c r="W13" s="9">
        <v>31915.6217173404</v>
      </c>
      <c r="X13" s="9">
        <v>73937.981015998404</v>
      </c>
      <c r="Y13" s="9">
        <v>4032.9643961036199</v>
      </c>
      <c r="Z13" s="9">
        <v>304942.96935649699</v>
      </c>
      <c r="AA13" s="9">
        <v>75186.611213242504</v>
      </c>
      <c r="AB13" s="9">
        <v>51652.702325305501</v>
      </c>
      <c r="AC13" s="9">
        <v>149863.62140253899</v>
      </c>
      <c r="AD13" s="9">
        <v>125865.853340977</v>
      </c>
      <c r="AE13" s="9">
        <v>324426.09476983501</v>
      </c>
    </row>
    <row r="14" spans="1:31" x14ac:dyDescent="0.2">
      <c r="A14" s="3">
        <v>13</v>
      </c>
      <c r="B14" s="4" t="s">
        <v>76</v>
      </c>
      <c r="C14" s="5" t="s">
        <v>132</v>
      </c>
      <c r="D14" s="4" t="s">
        <v>48</v>
      </c>
      <c r="E14" s="4" t="s">
        <v>132</v>
      </c>
      <c r="F14" s="4" t="s">
        <v>53</v>
      </c>
      <c r="G14" s="4" t="s">
        <v>118</v>
      </c>
      <c r="H14" s="6">
        <v>33220.651053061301</v>
      </c>
      <c r="I14" s="6">
        <v>11602.063430627801</v>
      </c>
      <c r="J14" s="6">
        <v>23979.489827314799</v>
      </c>
      <c r="K14" s="6">
        <v>20567270.2806076</v>
      </c>
      <c r="L14" s="6">
        <v>23725.069986749899</v>
      </c>
      <c r="M14" s="6">
        <v>4100951.2423048099</v>
      </c>
      <c r="N14" s="6">
        <v>51.333425780166898</v>
      </c>
      <c r="O14" s="6">
        <v>758.68683672355996</v>
      </c>
      <c r="P14" s="6">
        <v>3841.1836972268402</v>
      </c>
      <c r="Q14" s="6">
        <v>48992.541151450998</v>
      </c>
      <c r="R14" s="6">
        <v>17688.3590836527</v>
      </c>
      <c r="S14" s="6">
        <v>48363.1798808905</v>
      </c>
      <c r="T14" s="6">
        <v>10473.9072613181</v>
      </c>
      <c r="U14" s="6">
        <v>2397.5380920375501</v>
      </c>
      <c r="V14" s="6">
        <v>6103.9786549493601</v>
      </c>
      <c r="W14" s="6">
        <v>12910.4996095435</v>
      </c>
      <c r="X14" s="6">
        <v>68192.588567803497</v>
      </c>
      <c r="Y14" s="6">
        <v>219.95958634368299</v>
      </c>
      <c r="Z14" s="6">
        <v>17789.848385805199</v>
      </c>
      <c r="AA14" s="6">
        <v>17262.819971682002</v>
      </c>
      <c r="AB14" s="6">
        <v>2696.9244762622902</v>
      </c>
      <c r="AC14" s="6">
        <v>9456.4849439639802</v>
      </c>
      <c r="AD14" s="6">
        <v>8332.4458468853099</v>
      </c>
      <c r="AE14" s="6">
        <v>20749.175318310899</v>
      </c>
    </row>
    <row r="15" spans="1:31" x14ac:dyDescent="0.2">
      <c r="A15" s="3">
        <v>14</v>
      </c>
      <c r="B15" s="7" t="s">
        <v>130</v>
      </c>
      <c r="C15" s="8" t="s">
        <v>132</v>
      </c>
      <c r="D15" s="7" t="s">
        <v>153</v>
      </c>
      <c r="E15" s="7" t="s">
        <v>132</v>
      </c>
      <c r="F15" s="7" t="s">
        <v>73</v>
      </c>
      <c r="G15" s="7" t="s">
        <v>118</v>
      </c>
      <c r="H15" s="9">
        <v>8755558.8924420793</v>
      </c>
      <c r="I15" s="9">
        <v>5371888.1951457299</v>
      </c>
      <c r="J15" s="9">
        <v>7082421.8426046902</v>
      </c>
      <c r="K15" s="9">
        <v>27954623.102963101</v>
      </c>
      <c r="L15" s="9">
        <v>2018952.32888542</v>
      </c>
      <c r="M15" s="9">
        <v>41550224.645441301</v>
      </c>
      <c r="N15" s="9">
        <v>6590.18708725134</v>
      </c>
      <c r="O15" s="9">
        <v>25337.163422158799</v>
      </c>
      <c r="P15" s="9">
        <v>84006.981904443703</v>
      </c>
      <c r="Q15" s="9">
        <v>365147.67579758202</v>
      </c>
      <c r="R15" s="9">
        <v>8059151.8940343903</v>
      </c>
      <c r="S15" s="9">
        <v>197125.627699545</v>
      </c>
      <c r="T15" s="9">
        <v>4992341.8374427697</v>
      </c>
      <c r="U15" s="9">
        <v>1017092.73555854</v>
      </c>
      <c r="V15" s="9">
        <v>2668508.7205109699</v>
      </c>
      <c r="W15" s="9">
        <v>594658.66413343104</v>
      </c>
      <c r="X15" s="9">
        <v>318893.59322505002</v>
      </c>
      <c r="Y15" s="9">
        <v>95637.528226860595</v>
      </c>
      <c r="Z15" s="9">
        <v>9595213.1794272605</v>
      </c>
      <c r="AA15" s="9">
        <v>1134815.29462751</v>
      </c>
      <c r="AB15" s="9">
        <v>1388039.0765088201</v>
      </c>
      <c r="AC15" s="9">
        <v>4126558.65182515</v>
      </c>
      <c r="AD15" s="9">
        <v>3618666.0087493001</v>
      </c>
      <c r="AE15" s="9">
        <v>9046718.6780715697</v>
      </c>
    </row>
    <row r="16" spans="1:31" x14ac:dyDescent="0.2">
      <c r="A16" s="3">
        <v>15</v>
      </c>
      <c r="B16" s="4" t="s">
        <v>13</v>
      </c>
      <c r="C16" s="5" t="s">
        <v>132</v>
      </c>
      <c r="D16" s="4" t="s">
        <v>54</v>
      </c>
      <c r="E16" s="4" t="s">
        <v>132</v>
      </c>
      <c r="F16" s="4" t="s">
        <v>103</v>
      </c>
      <c r="G16" s="4" t="s">
        <v>118</v>
      </c>
      <c r="H16" s="6">
        <v>132664.68461919401</v>
      </c>
      <c r="I16" s="6">
        <v>24155.852680720502</v>
      </c>
      <c r="J16" s="6">
        <v>50865.804541243699</v>
      </c>
      <c r="K16" s="6">
        <v>19716300.4590009</v>
      </c>
      <c r="L16" s="6">
        <v>22439.683874333601</v>
      </c>
      <c r="M16" s="6">
        <v>4164642.4401402599</v>
      </c>
      <c r="N16" s="6">
        <v>126.667240575988</v>
      </c>
      <c r="O16" s="6">
        <v>1030.70388962581</v>
      </c>
      <c r="P16" s="6">
        <v>5110.9144122386397</v>
      </c>
      <c r="Q16" s="6">
        <v>52654.871971503497</v>
      </c>
      <c r="R16" s="6">
        <v>30149.373825640501</v>
      </c>
      <c r="S16" s="6">
        <v>48888.964330992101</v>
      </c>
      <c r="T16" s="6">
        <v>22105.8442391719</v>
      </c>
      <c r="U16" s="6">
        <v>41951.603137987702</v>
      </c>
      <c r="V16" s="6">
        <v>10616.0557723246</v>
      </c>
      <c r="W16" s="6">
        <v>14461.3232468881</v>
      </c>
      <c r="X16" s="6">
        <v>64387.676059863203</v>
      </c>
      <c r="Y16" s="6">
        <v>508.64586539254998</v>
      </c>
      <c r="Z16" s="6">
        <v>30813.0674612847</v>
      </c>
      <c r="AA16" s="6">
        <v>14732.3032845135</v>
      </c>
      <c r="AB16" s="6">
        <v>5191.6405710500803</v>
      </c>
      <c r="AC16" s="6">
        <v>15888.454224479299</v>
      </c>
      <c r="AD16" s="6">
        <v>12931.315336415801</v>
      </c>
      <c r="AE16" s="6">
        <v>34758.323040752701</v>
      </c>
    </row>
    <row r="17" spans="1:31" x14ac:dyDescent="0.2">
      <c r="A17" s="3">
        <v>16</v>
      </c>
      <c r="B17" s="7" t="s">
        <v>47</v>
      </c>
      <c r="C17" s="8" t="s">
        <v>132</v>
      </c>
      <c r="D17" s="7" t="s">
        <v>131</v>
      </c>
      <c r="E17" s="7" t="s">
        <v>132</v>
      </c>
      <c r="F17" s="7" t="s">
        <v>8</v>
      </c>
      <c r="G17" s="7" t="s">
        <v>118</v>
      </c>
      <c r="H17" s="9">
        <v>311016.41190683999</v>
      </c>
      <c r="I17" s="9">
        <v>73491.305108825298</v>
      </c>
      <c r="J17" s="9">
        <v>166029.279958381</v>
      </c>
      <c r="K17" s="9">
        <v>20681371.729498498</v>
      </c>
      <c r="L17" s="9">
        <v>37327.425869197803</v>
      </c>
      <c r="M17" s="9">
        <v>4443112.2297676401</v>
      </c>
      <c r="N17" s="9">
        <v>187.33457705501701</v>
      </c>
      <c r="O17" s="9">
        <v>1364.0651211222801</v>
      </c>
      <c r="P17" s="9">
        <v>5977.9173559702504</v>
      </c>
      <c r="Q17" s="9">
        <v>58413.1961669558</v>
      </c>
      <c r="R17" s="9">
        <v>98829.382022765698</v>
      </c>
      <c r="S17" s="9">
        <v>51913.155542595297</v>
      </c>
      <c r="T17" s="9">
        <v>58329.7651179409</v>
      </c>
      <c r="U17" s="9">
        <v>44072.7076495894</v>
      </c>
      <c r="V17" s="9">
        <v>32121.515271366701</v>
      </c>
      <c r="W17" s="9">
        <v>28281.9777243315</v>
      </c>
      <c r="X17" s="9">
        <v>66425.289107423407</v>
      </c>
      <c r="Y17" s="9">
        <v>1204.0872465262501</v>
      </c>
      <c r="Z17" s="9">
        <v>111315.932157035</v>
      </c>
      <c r="AA17" s="9">
        <v>17429.632201001601</v>
      </c>
      <c r="AB17" s="9">
        <v>16974.7527675856</v>
      </c>
      <c r="AC17" s="9">
        <v>51199.789961213501</v>
      </c>
      <c r="AD17" s="9">
        <v>45329.815137182202</v>
      </c>
      <c r="AE17" s="9">
        <v>110529.131448468</v>
      </c>
    </row>
    <row r="18" spans="1:31" x14ac:dyDescent="0.2">
      <c r="A18" s="3">
        <v>17</v>
      </c>
      <c r="B18" s="4" t="s">
        <v>76</v>
      </c>
      <c r="C18" s="5" t="s">
        <v>132</v>
      </c>
      <c r="D18" s="4" t="s">
        <v>120</v>
      </c>
      <c r="E18" s="4" t="s">
        <v>132</v>
      </c>
      <c r="F18" s="4" t="s">
        <v>12</v>
      </c>
      <c r="G18" s="4" t="s">
        <v>118</v>
      </c>
      <c r="H18" s="6">
        <v>109334.874951417</v>
      </c>
      <c r="I18" s="6">
        <v>7423.9357672326396</v>
      </c>
      <c r="J18" s="6">
        <v>25158.137511711</v>
      </c>
      <c r="K18" s="6">
        <v>20185609.801731199</v>
      </c>
      <c r="L18" s="6">
        <v>14460.0004057923</v>
      </c>
      <c r="M18" s="6">
        <v>4074688.6348913098</v>
      </c>
      <c r="N18" s="6">
        <v>76.666873727229301</v>
      </c>
      <c r="O18" s="6">
        <v>872.02672710254103</v>
      </c>
      <c r="P18" s="6">
        <v>4376.0035719989601</v>
      </c>
      <c r="Q18" s="6">
        <v>51115.965539261502</v>
      </c>
      <c r="R18" s="6">
        <v>3607.7914293254998</v>
      </c>
      <c r="S18" s="6">
        <v>46302.920362935401</v>
      </c>
      <c r="T18" s="6">
        <v>1354.7310343582501</v>
      </c>
      <c r="U18" s="6">
        <v>36489.934856568303</v>
      </c>
      <c r="V18" s="6">
        <v>1093.37525794411</v>
      </c>
      <c r="W18" s="6">
        <v>12145.8382581689</v>
      </c>
      <c r="X18" s="6">
        <v>60751.012219141798</v>
      </c>
      <c r="Y18" s="6">
        <v>69.326950609883696</v>
      </c>
      <c r="Z18" s="6">
        <v>978.70069654797396</v>
      </c>
      <c r="AA18" s="6">
        <v>3477.36280387122</v>
      </c>
      <c r="AB18" s="6">
        <v>119.333834582118</v>
      </c>
      <c r="AC18" s="6">
        <v>680.01620856023601</v>
      </c>
      <c r="AD18" s="6">
        <v>558.01094284883595</v>
      </c>
      <c r="AE18" s="6">
        <v>1433.4053486632799</v>
      </c>
    </row>
    <row r="19" spans="1:31" x14ac:dyDescent="0.2">
      <c r="A19" s="3">
        <v>18</v>
      </c>
      <c r="B19" s="7" t="s">
        <v>69</v>
      </c>
      <c r="C19" s="8" t="s">
        <v>132</v>
      </c>
      <c r="D19" s="7" t="s">
        <v>102</v>
      </c>
      <c r="E19" s="7" t="s">
        <v>132</v>
      </c>
      <c r="F19" s="7" t="s">
        <v>93</v>
      </c>
      <c r="G19" s="7" t="s">
        <v>118</v>
      </c>
      <c r="H19" s="9">
        <v>223360.25251324201</v>
      </c>
      <c r="I19" s="9">
        <v>12505.4805875161</v>
      </c>
      <c r="J19" s="9">
        <v>90858.211511261703</v>
      </c>
      <c r="K19" s="9">
        <v>20741208.091008399</v>
      </c>
      <c r="L19" s="9">
        <v>13796.002990491301</v>
      </c>
      <c r="M19" s="9">
        <v>4084670.0410405202</v>
      </c>
      <c r="N19" s="9">
        <v>6484.8052471391702</v>
      </c>
      <c r="O19" s="9">
        <v>37745.150784803598</v>
      </c>
      <c r="P19" s="9">
        <v>115300.782613114</v>
      </c>
      <c r="Q19" s="9">
        <v>672862.75503513298</v>
      </c>
      <c r="R19" s="9">
        <v>3333.7227774061498</v>
      </c>
      <c r="S19" s="9">
        <v>49414.913630322902</v>
      </c>
      <c r="T19" s="9">
        <v>1040.7046206059399</v>
      </c>
      <c r="U19" s="9">
        <v>33465.981898418002</v>
      </c>
      <c r="V19" s="9">
        <v>890.02774377876904</v>
      </c>
      <c r="W19" s="9">
        <v>20299.120602021001</v>
      </c>
      <c r="X19" s="9">
        <v>60290.553066209497</v>
      </c>
      <c r="Y19" s="9">
        <v>43.342366516159302</v>
      </c>
      <c r="Z19" s="9">
        <v>812.02315274233501</v>
      </c>
      <c r="AA19" s="9">
        <v>2182.9058626531701</v>
      </c>
      <c r="AB19" s="9">
        <v>49.333419386818299</v>
      </c>
      <c r="AC19" s="9">
        <v>300.66984120029201</v>
      </c>
      <c r="AD19" s="9">
        <v>249.33551520581199</v>
      </c>
      <c r="AE19" s="9">
        <v>591.34557635356202</v>
      </c>
    </row>
    <row r="20" spans="1:31" x14ac:dyDescent="0.2">
      <c r="A20" s="3">
        <v>19</v>
      </c>
      <c r="B20" s="4" t="s">
        <v>55</v>
      </c>
      <c r="C20" s="5" t="s">
        <v>132</v>
      </c>
      <c r="D20" s="4" t="s">
        <v>156</v>
      </c>
      <c r="E20" s="4" t="s">
        <v>132</v>
      </c>
      <c r="F20" s="4" t="s">
        <v>106</v>
      </c>
      <c r="G20" s="4" t="s">
        <v>118</v>
      </c>
      <c r="H20" s="6">
        <v>9333700.3569637295</v>
      </c>
      <c r="I20" s="6">
        <v>5082724.4881961597</v>
      </c>
      <c r="J20" s="6">
        <v>6286689.3132978398</v>
      </c>
      <c r="K20" s="6">
        <v>35492788.874599501</v>
      </c>
      <c r="L20" s="6">
        <v>2111370.7215457102</v>
      </c>
      <c r="M20" s="6">
        <v>42882564.006776802</v>
      </c>
      <c r="N20" s="6">
        <v>6437.4508297173898</v>
      </c>
      <c r="O20" s="6">
        <v>24231.223775719998</v>
      </c>
      <c r="P20" s="6">
        <v>83237.894336932106</v>
      </c>
      <c r="Q20" s="6">
        <v>385789.54761750199</v>
      </c>
      <c r="R20" s="6">
        <v>7385145.0274118101</v>
      </c>
      <c r="S20" s="6">
        <v>167635.029984119</v>
      </c>
      <c r="T20" s="6">
        <v>4640093.2800918398</v>
      </c>
      <c r="U20" s="6">
        <v>1060848.57910773</v>
      </c>
      <c r="V20" s="6">
        <v>2809275.5543214902</v>
      </c>
      <c r="W20" s="6">
        <v>580230.61783357698</v>
      </c>
      <c r="X20" s="6">
        <v>274747.68801199697</v>
      </c>
      <c r="Y20" s="6">
        <v>91369.729173210901</v>
      </c>
      <c r="Z20" s="6">
        <v>9976923.1514819097</v>
      </c>
      <c r="AA20" s="6">
        <v>984760.61330699897</v>
      </c>
      <c r="AB20" s="6">
        <v>1409529.8477845399</v>
      </c>
      <c r="AC20" s="6">
        <v>4204047.8883706396</v>
      </c>
      <c r="AD20" s="6">
        <v>3480909.8805611199</v>
      </c>
      <c r="AE20" s="6">
        <v>8089964.2293817597</v>
      </c>
    </row>
    <row r="21" spans="1:31" x14ac:dyDescent="0.2">
      <c r="A21" s="3">
        <v>20</v>
      </c>
      <c r="B21" s="7" t="s">
        <v>142</v>
      </c>
      <c r="C21" s="8" t="s">
        <v>132</v>
      </c>
      <c r="D21" s="7" t="s">
        <v>74</v>
      </c>
      <c r="E21" s="7" t="s">
        <v>132</v>
      </c>
      <c r="F21" s="7" t="s">
        <v>20</v>
      </c>
      <c r="G21" s="7" t="s">
        <v>118</v>
      </c>
      <c r="H21" s="9">
        <v>135518.61906206899</v>
      </c>
      <c r="I21" s="9">
        <v>22325.694397938802</v>
      </c>
      <c r="J21" s="9">
        <v>45504.661974806098</v>
      </c>
      <c r="K21" s="9">
        <v>20437451.446435399</v>
      </c>
      <c r="L21" s="9">
        <v>21482.825129058201</v>
      </c>
      <c r="M21" s="9">
        <v>4167166.3965164898</v>
      </c>
      <c r="N21" s="9">
        <v>128.00057605593801</v>
      </c>
      <c r="O21" s="9">
        <v>972.03309806135303</v>
      </c>
      <c r="P21" s="9">
        <v>4946.85641791129</v>
      </c>
      <c r="Q21" s="9">
        <v>51421.713991017998</v>
      </c>
      <c r="R21" s="9">
        <v>27498.3276648297</v>
      </c>
      <c r="S21" s="9">
        <v>46735.749966995798</v>
      </c>
      <c r="T21" s="9">
        <v>18681.6306576149</v>
      </c>
      <c r="U21" s="9">
        <v>40589.614435179203</v>
      </c>
      <c r="V21" s="9">
        <v>9750.71593329397</v>
      </c>
      <c r="W21" s="9">
        <v>13964.1748082948</v>
      </c>
      <c r="X21" s="9">
        <v>62245.009396186797</v>
      </c>
      <c r="Y21" s="9">
        <v>418.72565498419101</v>
      </c>
      <c r="Z21" s="9">
        <v>28733.831032784299</v>
      </c>
      <c r="AA21" s="9">
        <v>12629.730561349899</v>
      </c>
      <c r="AB21" s="9">
        <v>4832.1642117305501</v>
      </c>
      <c r="AC21" s="9">
        <v>14614.286924398501</v>
      </c>
      <c r="AD21" s="9">
        <v>11834.320150047601</v>
      </c>
      <c r="AE21" s="9">
        <v>29852.878660740102</v>
      </c>
    </row>
    <row r="22" spans="1:31" x14ac:dyDescent="0.2">
      <c r="A22" s="3">
        <v>21</v>
      </c>
      <c r="B22" s="4" t="s">
        <v>119</v>
      </c>
      <c r="C22" s="5" t="s">
        <v>132</v>
      </c>
      <c r="D22" s="4" t="s">
        <v>98</v>
      </c>
      <c r="E22" s="4" t="s">
        <v>132</v>
      </c>
      <c r="F22" s="4" t="s">
        <v>160</v>
      </c>
      <c r="G22" s="4" t="s">
        <v>118</v>
      </c>
      <c r="H22" s="6">
        <v>6828813.9587834701</v>
      </c>
      <c r="I22" s="6">
        <v>1021317.4036244299</v>
      </c>
      <c r="J22" s="6">
        <v>438399.63583417499</v>
      </c>
      <c r="K22" s="6">
        <v>54025453.657570899</v>
      </c>
      <c r="L22" s="6">
        <v>18733.612385324199</v>
      </c>
      <c r="M22" s="6">
        <v>16569914.9515271</v>
      </c>
      <c r="N22" s="6">
        <v>6781.6098531838697</v>
      </c>
      <c r="O22" s="6">
        <v>40917.96782374</v>
      </c>
      <c r="P22" s="6">
        <v>121881.907162231</v>
      </c>
      <c r="Q22" s="6">
        <v>712954.77729564498</v>
      </c>
      <c r="R22" s="6">
        <v>9132.9221562220391</v>
      </c>
      <c r="S22" s="6">
        <v>46226.237881117602</v>
      </c>
      <c r="T22" s="6">
        <v>1193.38385655457</v>
      </c>
      <c r="U22" s="6">
        <v>538.01013922457605</v>
      </c>
      <c r="V22" s="6">
        <v>3787.8366192069402</v>
      </c>
      <c r="W22" s="6">
        <v>12030.3986916698</v>
      </c>
      <c r="X22" s="6">
        <v>57895.664090282902</v>
      </c>
      <c r="Y22" s="6">
        <v>79.180950936697698</v>
      </c>
      <c r="Z22" s="6">
        <v>43429.496071800801</v>
      </c>
      <c r="AA22" s="6">
        <v>4481.9717694434003</v>
      </c>
      <c r="AB22" s="6">
        <v>393.33877782244298</v>
      </c>
      <c r="AC22" s="6">
        <v>1638.7608822966699</v>
      </c>
      <c r="AD22" s="6">
        <v>1440.07260318158</v>
      </c>
      <c r="AE22" s="6">
        <v>3532.4374671935898</v>
      </c>
    </row>
    <row r="23" spans="1:31" x14ac:dyDescent="0.2">
      <c r="A23" s="3">
        <v>22</v>
      </c>
      <c r="B23" s="7" t="s">
        <v>101</v>
      </c>
      <c r="C23" s="8" t="s">
        <v>132</v>
      </c>
      <c r="D23" s="7" t="s">
        <v>152</v>
      </c>
      <c r="E23" s="7" t="s">
        <v>132</v>
      </c>
      <c r="F23" s="7" t="s">
        <v>158</v>
      </c>
      <c r="G23" s="7" t="s">
        <v>118</v>
      </c>
      <c r="H23" s="9">
        <v>593720092.30217397</v>
      </c>
      <c r="I23" s="9">
        <v>804149102.28510499</v>
      </c>
      <c r="J23" s="9">
        <v>253321.67290495001</v>
      </c>
      <c r="K23" s="9">
        <v>151255737.10277799</v>
      </c>
      <c r="L23" s="9">
        <v>33681.0465972452</v>
      </c>
      <c r="M23" s="9">
        <v>69887382.858644798</v>
      </c>
      <c r="N23" s="9">
        <v>1239664.93392892</v>
      </c>
      <c r="O23" s="9">
        <v>7562975.1470910497</v>
      </c>
      <c r="P23" s="9">
        <v>22985451.040311001</v>
      </c>
      <c r="Q23" s="9">
        <v>118302472.464973</v>
      </c>
      <c r="R23" s="9">
        <v>53628.090981597597</v>
      </c>
      <c r="S23" s="9">
        <v>237252.57589966501</v>
      </c>
      <c r="T23" s="9">
        <v>3706.4838550551099</v>
      </c>
      <c r="U23" s="9">
        <v>11581.386275545299</v>
      </c>
      <c r="V23" s="9">
        <v>12136.492393532801</v>
      </c>
      <c r="W23" s="9">
        <v>17654.267079897701</v>
      </c>
      <c r="X23" s="9">
        <v>55953.234234991301</v>
      </c>
      <c r="Y23" s="9">
        <v>161.08844694502201</v>
      </c>
      <c r="Z23" s="9">
        <v>6522506.5966536896</v>
      </c>
      <c r="AA23" s="9">
        <v>3645.7573684895201</v>
      </c>
      <c r="AB23" s="9">
        <v>153.334169324621</v>
      </c>
      <c r="AC23" s="9">
        <v>2057.4815395196101</v>
      </c>
      <c r="AD23" s="9">
        <v>1865.4552408009299</v>
      </c>
      <c r="AE23" s="9">
        <v>4745.4550848434801</v>
      </c>
    </row>
    <row r="24" spans="1:31" x14ac:dyDescent="0.2">
      <c r="A24" s="3">
        <v>23</v>
      </c>
      <c r="B24" s="4" t="s">
        <v>16</v>
      </c>
      <c r="C24" s="5" t="s">
        <v>132</v>
      </c>
      <c r="D24" s="4" t="s">
        <v>24</v>
      </c>
      <c r="E24" s="4" t="s">
        <v>132</v>
      </c>
      <c r="F24" s="4" t="s">
        <v>30</v>
      </c>
      <c r="G24" s="4" t="s">
        <v>118</v>
      </c>
      <c r="H24" s="6">
        <v>1670731.86574477</v>
      </c>
      <c r="I24" s="6">
        <v>2286640.4609027202</v>
      </c>
      <c r="J24" s="6">
        <v>9263.01148230746</v>
      </c>
      <c r="K24" s="6">
        <v>21277472.993685398</v>
      </c>
      <c r="L24" s="6">
        <v>22047.696427168699</v>
      </c>
      <c r="M24" s="6">
        <v>4269080.3897136198</v>
      </c>
      <c r="N24" s="6">
        <v>5959.9374340595896</v>
      </c>
      <c r="O24" s="6">
        <v>22072.5758042612</v>
      </c>
      <c r="P24" s="6">
        <v>105535.41576783299</v>
      </c>
      <c r="Q24" s="6">
        <v>415111.96737010899</v>
      </c>
      <c r="R24" s="6">
        <v>1293.3921169760699</v>
      </c>
      <c r="S24" s="6">
        <v>48274.229543699999</v>
      </c>
      <c r="T24" s="6">
        <v>157.334218418424</v>
      </c>
      <c r="U24" s="6">
        <v>192.001335142931</v>
      </c>
      <c r="V24" s="6">
        <v>599.34593000526604</v>
      </c>
      <c r="W24" s="6">
        <v>10523.879251231399</v>
      </c>
      <c r="X24" s="6">
        <v>59615.284734174304</v>
      </c>
      <c r="Y24" s="6">
        <v>64.056193892604796</v>
      </c>
      <c r="Z24" s="6">
        <v>24732.433209322699</v>
      </c>
      <c r="AA24" s="6">
        <v>1940.1769279492501</v>
      </c>
      <c r="AB24" s="6">
        <v>28.666698633372501</v>
      </c>
      <c r="AC24" s="6">
        <v>506.67565781299299</v>
      </c>
      <c r="AD24" s="6">
        <v>400.672287045529</v>
      </c>
      <c r="AE24" s="6">
        <v>954.03187901936997</v>
      </c>
    </row>
    <row r="25" spans="1:31" x14ac:dyDescent="0.2">
      <c r="A25" s="3">
        <v>24</v>
      </c>
      <c r="B25" s="7" t="s">
        <v>150</v>
      </c>
      <c r="C25" s="8" t="s">
        <v>132</v>
      </c>
      <c r="D25" s="7" t="s">
        <v>84</v>
      </c>
      <c r="E25" s="7" t="s">
        <v>132</v>
      </c>
      <c r="F25" s="7" t="s">
        <v>133</v>
      </c>
      <c r="G25" s="7" t="s">
        <v>118</v>
      </c>
      <c r="H25" s="9">
        <v>567679613.70258498</v>
      </c>
      <c r="I25" s="9">
        <v>726956879.62949896</v>
      </c>
      <c r="J25" s="9">
        <v>352429.68070973101</v>
      </c>
      <c r="K25" s="9">
        <v>121619209.636005</v>
      </c>
      <c r="L25" s="9">
        <v>161355.43544330201</v>
      </c>
      <c r="M25" s="9">
        <v>248200128.87932101</v>
      </c>
      <c r="N25" s="9">
        <v>967489.83278664702</v>
      </c>
      <c r="O25" s="9">
        <v>5433687.60581607</v>
      </c>
      <c r="P25" s="9">
        <v>17037527.314503498</v>
      </c>
      <c r="Q25" s="9">
        <v>91612967.375530705</v>
      </c>
      <c r="R25" s="9">
        <v>234946.82835555801</v>
      </c>
      <c r="S25" s="9">
        <v>231388.54907346299</v>
      </c>
      <c r="T25" s="9">
        <v>3919.8718022806302</v>
      </c>
      <c r="U25" s="9">
        <v>9960.8157657441207</v>
      </c>
      <c r="V25" s="9">
        <v>18825.7520694579</v>
      </c>
      <c r="W25" s="9">
        <v>16337.367075554301</v>
      </c>
      <c r="X25" s="9">
        <v>51207.945643062398</v>
      </c>
      <c r="Y25" s="9">
        <v>169.77610229701401</v>
      </c>
      <c r="Z25" s="9">
        <v>10898733.374306001</v>
      </c>
      <c r="AA25" s="9">
        <v>2096.4641530977501</v>
      </c>
      <c r="AB25" s="9">
        <v>95.333656501113396</v>
      </c>
      <c r="AC25" s="9">
        <v>1392.7346429288</v>
      </c>
      <c r="AD25" s="9">
        <v>1180.7155843717201</v>
      </c>
      <c r="AE25" s="9">
        <v>2858.28686952305</v>
      </c>
    </row>
    <row r="26" spans="1:31" x14ac:dyDescent="0.2">
      <c r="A26" s="3">
        <v>25</v>
      </c>
      <c r="B26" s="4" t="s">
        <v>16</v>
      </c>
      <c r="C26" s="5" t="s">
        <v>132</v>
      </c>
      <c r="D26" s="4" t="s">
        <v>100</v>
      </c>
      <c r="E26" s="4" t="s">
        <v>132</v>
      </c>
      <c r="F26" s="4" t="s">
        <v>43</v>
      </c>
      <c r="G26" s="4" t="s">
        <v>118</v>
      </c>
      <c r="H26" s="6">
        <v>1870962.6225341901</v>
      </c>
      <c r="I26" s="6">
        <v>2317351.7353300299</v>
      </c>
      <c r="J26" s="6">
        <v>9723.3163704571507</v>
      </c>
      <c r="K26" s="6">
        <v>20820189.832117401</v>
      </c>
      <c r="L26" s="6">
        <v>20707.693324115298</v>
      </c>
      <c r="M26" s="6">
        <v>4746868.6970097004</v>
      </c>
      <c r="N26" s="6">
        <v>3978.5567655948298</v>
      </c>
      <c r="O26" s="6">
        <v>19848.531677757699</v>
      </c>
      <c r="P26" s="6">
        <v>73005.846688454301</v>
      </c>
      <c r="Q26" s="6">
        <v>384854.53725259198</v>
      </c>
      <c r="R26" s="6">
        <v>2000.14133736749</v>
      </c>
      <c r="S26" s="6">
        <v>43226.693823195703</v>
      </c>
      <c r="T26" s="6">
        <v>189.334589328341</v>
      </c>
      <c r="U26" s="6">
        <v>158.00087551819399</v>
      </c>
      <c r="V26" s="6">
        <v>594.01235315697397</v>
      </c>
      <c r="W26" s="6">
        <v>10312.396979626101</v>
      </c>
      <c r="X26" s="6">
        <v>55896.8346446613</v>
      </c>
      <c r="Y26" s="6">
        <v>63.384301974864599</v>
      </c>
      <c r="Z26" s="6">
        <v>41432.228131318901</v>
      </c>
      <c r="AA26" s="6">
        <v>1299.2990300244501</v>
      </c>
      <c r="AB26" s="6">
        <v>24.6666879933518</v>
      </c>
      <c r="AC26" s="6">
        <v>430.67318544574698</v>
      </c>
      <c r="AD26" s="6">
        <v>357.33780470931202</v>
      </c>
      <c r="AE26" s="6">
        <v>883.36068798845702</v>
      </c>
    </row>
    <row r="27" spans="1:31" x14ac:dyDescent="0.2">
      <c r="A27" s="3">
        <v>26</v>
      </c>
      <c r="B27" s="7" t="s">
        <v>137</v>
      </c>
      <c r="C27" s="8" t="s">
        <v>132</v>
      </c>
      <c r="D27" s="7" t="s">
        <v>122</v>
      </c>
      <c r="E27" s="7" t="s">
        <v>132</v>
      </c>
      <c r="F27" s="7" t="s">
        <v>49</v>
      </c>
      <c r="G27" s="7" t="s">
        <v>118</v>
      </c>
      <c r="H27" s="12" t="s">
        <v>25</v>
      </c>
      <c r="I27" s="9">
        <v>578784055.63540399</v>
      </c>
      <c r="J27" s="9">
        <v>2992906.2047493001</v>
      </c>
      <c r="K27" s="9">
        <v>76303963.661040202</v>
      </c>
      <c r="L27" s="9">
        <v>7629628.80562496</v>
      </c>
      <c r="M27" s="9">
        <v>1006981138.94371</v>
      </c>
      <c r="N27" s="9">
        <v>1472671.0777726499</v>
      </c>
      <c r="O27" s="9">
        <v>8929256.0549110491</v>
      </c>
      <c r="P27" s="9">
        <v>25182546.0086773</v>
      </c>
      <c r="Q27" s="9">
        <v>151661266.73781499</v>
      </c>
      <c r="R27" s="9">
        <v>25869799.7480422</v>
      </c>
      <c r="S27" s="9">
        <v>2770611.3439330598</v>
      </c>
      <c r="T27" s="9">
        <v>22642.5998854278</v>
      </c>
      <c r="U27" s="9">
        <v>20741.1545355083</v>
      </c>
      <c r="V27" s="9">
        <v>23660.934328494499</v>
      </c>
      <c r="W27" s="9">
        <v>33433.204724031901</v>
      </c>
      <c r="X27" s="9">
        <v>51422.375074450902</v>
      </c>
      <c r="Y27" s="9">
        <v>520.86085957442799</v>
      </c>
      <c r="Z27" s="9">
        <v>27371006.999217499</v>
      </c>
      <c r="AA27" s="9">
        <v>2018.29496104707</v>
      </c>
      <c r="AB27" s="9">
        <v>184.667870347914</v>
      </c>
      <c r="AC27" s="9">
        <v>2976.9779632475802</v>
      </c>
      <c r="AD27" s="9">
        <v>2484.8831106627899</v>
      </c>
      <c r="AE27" s="9">
        <v>5896.5503791614101</v>
      </c>
    </row>
    <row r="28" spans="1:31" x14ac:dyDescent="0.2">
      <c r="A28" s="3">
        <v>27</v>
      </c>
      <c r="B28" s="4" t="s">
        <v>7</v>
      </c>
      <c r="C28" s="5" t="s">
        <v>132</v>
      </c>
      <c r="D28" s="4" t="s">
        <v>110</v>
      </c>
      <c r="E28" s="4" t="s">
        <v>132</v>
      </c>
      <c r="F28" s="4" t="s">
        <v>91</v>
      </c>
      <c r="G28" s="4" t="s">
        <v>118</v>
      </c>
      <c r="H28" s="6">
        <v>9472003.0032047108</v>
      </c>
      <c r="I28" s="6">
        <v>2542778.1643586899</v>
      </c>
      <c r="J28" s="6">
        <v>1012048.55320625</v>
      </c>
      <c r="K28" s="6">
        <v>27568926.740465701</v>
      </c>
      <c r="L28" s="6">
        <v>49849.549159439499</v>
      </c>
      <c r="M28" s="6">
        <v>556480333.61363494</v>
      </c>
      <c r="N28" s="6">
        <v>10237.747208332999</v>
      </c>
      <c r="O28" s="6">
        <v>39587.620739469501</v>
      </c>
      <c r="P28" s="6">
        <v>180529.89377919101</v>
      </c>
      <c r="Q28" s="6">
        <v>723421.397414912</v>
      </c>
      <c r="R28" s="6">
        <v>195679.77671366301</v>
      </c>
      <c r="S28" s="6">
        <v>53154.384697862501</v>
      </c>
      <c r="T28" s="6">
        <v>398.00558453895002</v>
      </c>
      <c r="U28" s="6">
        <v>433.33990661972399</v>
      </c>
      <c r="V28" s="6">
        <v>3347.7281269414302</v>
      </c>
      <c r="W28" s="6">
        <v>16145.1247378634</v>
      </c>
      <c r="X28" s="6">
        <v>50228.065432751297</v>
      </c>
      <c r="Y28" s="6">
        <v>66.712447704316602</v>
      </c>
      <c r="Z28" s="6">
        <v>110325.36659703701</v>
      </c>
      <c r="AA28" s="6">
        <v>1000.5822589151099</v>
      </c>
      <c r="AB28" s="6">
        <v>138.00067186329699</v>
      </c>
      <c r="AC28" s="6">
        <v>763.35379642369196</v>
      </c>
      <c r="AD28" s="6">
        <v>684.01638291256904</v>
      </c>
      <c r="AE28" s="6">
        <v>1743.4399215360099</v>
      </c>
    </row>
    <row r="29" spans="1:31" x14ac:dyDescent="0.2">
      <c r="A29" s="3">
        <v>28</v>
      </c>
      <c r="B29" s="7" t="s">
        <v>7</v>
      </c>
      <c r="C29" s="8" t="s">
        <v>132</v>
      </c>
      <c r="D29" s="7" t="s">
        <v>34</v>
      </c>
      <c r="E29" s="7" t="s">
        <v>132</v>
      </c>
      <c r="F29" s="7" t="s">
        <v>9</v>
      </c>
      <c r="G29" s="7" t="s">
        <v>118</v>
      </c>
      <c r="H29" s="9">
        <v>4174834.3790958798</v>
      </c>
      <c r="I29" s="9">
        <v>353427.64321771503</v>
      </c>
      <c r="J29" s="9">
        <v>917740.25311835296</v>
      </c>
      <c r="K29" s="9">
        <v>27111035.6895946</v>
      </c>
      <c r="L29" s="9">
        <v>23063.3148266508</v>
      </c>
      <c r="M29" s="9">
        <v>608020707.39317298</v>
      </c>
      <c r="N29" s="9">
        <v>1446.07326902982</v>
      </c>
      <c r="O29" s="9">
        <v>7360.5624311677802</v>
      </c>
      <c r="P29" s="9">
        <v>29826.476488565298</v>
      </c>
      <c r="Q29" s="9">
        <v>198568.752318777</v>
      </c>
      <c r="R29" s="9">
        <v>102673.765613738</v>
      </c>
      <c r="S29" s="9">
        <v>39604.186972422598</v>
      </c>
      <c r="T29" s="9">
        <v>306.66997658259402</v>
      </c>
      <c r="U29" s="9">
        <v>371.33818388368201</v>
      </c>
      <c r="V29" s="9">
        <v>3633.7961650829502</v>
      </c>
      <c r="W29" s="9">
        <v>15133.3861110198</v>
      </c>
      <c r="X29" s="9">
        <v>46666.196260448902</v>
      </c>
      <c r="Y29" s="9">
        <v>71.993668054148102</v>
      </c>
      <c r="Z29" s="9">
        <v>16538.970794410401</v>
      </c>
      <c r="AA29" s="9">
        <v>869.81168041440901</v>
      </c>
      <c r="AB29" s="9">
        <v>110.00043647511001</v>
      </c>
      <c r="AC29" s="9">
        <v>793.35536369179397</v>
      </c>
      <c r="AD29" s="9">
        <v>630.68069255436001</v>
      </c>
      <c r="AE29" s="9">
        <v>1528.0818496044101</v>
      </c>
    </row>
    <row r="30" spans="1:31" x14ac:dyDescent="0.2">
      <c r="A30" s="3">
        <v>29</v>
      </c>
      <c r="B30" s="4" t="s">
        <v>145</v>
      </c>
      <c r="C30" s="5" t="s">
        <v>132</v>
      </c>
      <c r="D30" s="4" t="s">
        <v>80</v>
      </c>
      <c r="E30" s="4" t="s">
        <v>132</v>
      </c>
      <c r="F30" s="4" t="s">
        <v>108</v>
      </c>
      <c r="G30" s="4" t="s">
        <v>118</v>
      </c>
      <c r="H30" s="6">
        <v>8254551.9684783705</v>
      </c>
      <c r="I30" s="6">
        <v>4558529.9415238304</v>
      </c>
      <c r="J30" s="6">
        <v>6203090.2514121505</v>
      </c>
      <c r="K30" s="6">
        <v>34671467.757046297</v>
      </c>
      <c r="L30" s="6">
        <v>2022620.7803322</v>
      </c>
      <c r="M30" s="6">
        <v>38884630.567924298</v>
      </c>
      <c r="N30" s="6">
        <v>6570.1779602310999</v>
      </c>
      <c r="O30" s="6">
        <v>26128.542042035901</v>
      </c>
      <c r="P30" s="6">
        <v>85525.981492610401</v>
      </c>
      <c r="Q30" s="6">
        <v>388676.24098317302</v>
      </c>
      <c r="R30" s="6">
        <v>6068384.6869010804</v>
      </c>
      <c r="S30" s="6">
        <v>165071.015182401</v>
      </c>
      <c r="T30" s="6">
        <v>4648124.92687729</v>
      </c>
      <c r="U30" s="6">
        <v>985355.47479217499</v>
      </c>
      <c r="V30" s="6">
        <v>2057071.99096963</v>
      </c>
      <c r="W30" s="6">
        <v>488756.76355933398</v>
      </c>
      <c r="X30" s="6">
        <v>268345.00371269003</v>
      </c>
      <c r="Y30" s="6">
        <v>93964.771229233098</v>
      </c>
      <c r="Z30" s="6">
        <v>7837318.48276986</v>
      </c>
      <c r="AA30" s="6">
        <v>988710.17980938405</v>
      </c>
      <c r="AB30" s="6">
        <v>1410543.5519966399</v>
      </c>
      <c r="AC30" s="6">
        <v>3474261.8051154399</v>
      </c>
      <c r="AD30" s="6">
        <v>2948072.8447917998</v>
      </c>
      <c r="AE30" s="6">
        <v>7655046.1485815104</v>
      </c>
    </row>
    <row r="31" spans="1:31" x14ac:dyDescent="0.2">
      <c r="A31" s="3">
        <v>30</v>
      </c>
      <c r="B31" s="7" t="s">
        <v>71</v>
      </c>
      <c r="C31" s="8" t="s">
        <v>132</v>
      </c>
      <c r="D31" s="7" t="s">
        <v>115</v>
      </c>
      <c r="E31" s="7" t="s">
        <v>132</v>
      </c>
      <c r="F31" s="7" t="s">
        <v>68</v>
      </c>
      <c r="G31" s="7" t="s">
        <v>118</v>
      </c>
      <c r="H31" s="9">
        <v>133796.906438951</v>
      </c>
      <c r="I31" s="9">
        <v>24399.558374834302</v>
      </c>
      <c r="J31" s="9">
        <v>48638.043799149098</v>
      </c>
      <c r="K31" s="9">
        <v>19234582.654206298</v>
      </c>
      <c r="L31" s="9">
        <v>20691.7281667678</v>
      </c>
      <c r="M31" s="9">
        <v>4113927.7433538199</v>
      </c>
      <c r="N31" s="9">
        <v>123.333866875646</v>
      </c>
      <c r="O31" s="9">
        <v>837.357905455332</v>
      </c>
      <c r="P31" s="9">
        <v>5044.2237856751099</v>
      </c>
      <c r="Q31" s="9">
        <v>56761.217950467602</v>
      </c>
      <c r="R31" s="9">
        <v>25221.689738430599</v>
      </c>
      <c r="S31" s="9">
        <v>46997.435795199301</v>
      </c>
      <c r="T31" s="9">
        <v>17966.0801047563</v>
      </c>
      <c r="U31" s="9">
        <v>36983.428391675399</v>
      </c>
      <c r="V31" s="9">
        <v>8482.5500222869396</v>
      </c>
      <c r="W31" s="9">
        <v>12334.661141742101</v>
      </c>
      <c r="X31" s="9">
        <v>58400.829264810702</v>
      </c>
      <c r="Y31" s="9">
        <v>464.21669585519902</v>
      </c>
      <c r="Z31" s="9">
        <v>28774.5916950836</v>
      </c>
      <c r="AA31" s="9">
        <v>12905.6031550548</v>
      </c>
      <c r="AB31" s="9">
        <v>5216.9731236111602</v>
      </c>
      <c r="AC31" s="9">
        <v>15044.734220156801</v>
      </c>
      <c r="AD31" s="9">
        <v>12999.964705766501</v>
      </c>
      <c r="AE31" s="9">
        <v>33599.1557511551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30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94</v>
      </c>
      <c r="I1" s="1" t="s">
        <v>31</v>
      </c>
      <c r="J1" s="1" t="s">
        <v>99</v>
      </c>
      <c r="K1" s="1" t="s">
        <v>59</v>
      </c>
      <c r="L1" s="1" t="s">
        <v>0</v>
      </c>
      <c r="M1" s="1" t="s">
        <v>35</v>
      </c>
      <c r="N1" s="2" t="s">
        <v>62</v>
      </c>
      <c r="O1" s="1" t="s">
        <v>159</v>
      </c>
      <c r="P1" s="2" t="s">
        <v>23</v>
      </c>
      <c r="Q1" s="1" t="s">
        <v>121</v>
      </c>
      <c r="R1" s="1" t="s">
        <v>114</v>
      </c>
      <c r="S1" s="1" t="s">
        <v>57</v>
      </c>
      <c r="T1" s="1" t="s">
        <v>11</v>
      </c>
      <c r="U1" s="1" t="s">
        <v>63</v>
      </c>
      <c r="V1" s="1" t="s">
        <v>151</v>
      </c>
      <c r="W1" s="1" t="s">
        <v>161</v>
      </c>
      <c r="X1" s="1" t="s">
        <v>50</v>
      </c>
      <c r="Y1" s="1" t="s">
        <v>139</v>
      </c>
      <c r="Z1" s="1" t="s">
        <v>127</v>
      </c>
      <c r="AA1" s="1" t="s">
        <v>97</v>
      </c>
      <c r="AB1" s="1" t="s">
        <v>38</v>
      </c>
      <c r="AC1" s="1" t="s">
        <v>61</v>
      </c>
      <c r="AD1" s="1" t="s">
        <v>154</v>
      </c>
      <c r="AE1" s="1" t="s">
        <v>141</v>
      </c>
    </row>
    <row r="2" spans="1:31" x14ac:dyDescent="0.2">
      <c r="A2" s="13">
        <v>1</v>
      </c>
      <c r="B2" s="14" t="s">
        <v>16</v>
      </c>
      <c r="C2" s="15" t="s">
        <v>132</v>
      </c>
      <c r="D2" s="14" t="s">
        <v>6</v>
      </c>
      <c r="E2" s="14" t="s">
        <v>132</v>
      </c>
      <c r="F2" s="14" t="s">
        <v>22</v>
      </c>
      <c r="G2" s="14" t="s">
        <v>118</v>
      </c>
      <c r="H2" s="16">
        <v>4.0182711935715799E-2</v>
      </c>
      <c r="I2" s="16">
        <v>3.3574823705939498E-2</v>
      </c>
      <c r="J2" s="16">
        <v>0.17528637084902099</v>
      </c>
      <c r="K2" s="16">
        <v>6.4668636412821903E-3</v>
      </c>
      <c r="L2" s="16">
        <v>3.5434166914772303E-2</v>
      </c>
      <c r="M2" s="16">
        <v>2.01283739625699E-2</v>
      </c>
      <c r="N2" s="16">
        <v>0.16627008085144901</v>
      </c>
      <c r="O2" s="16">
        <v>4.55605540206395E-2</v>
      </c>
      <c r="P2" s="16">
        <v>1.24237330168003E-2</v>
      </c>
      <c r="Q2" s="16">
        <v>1.5873204899495098E-2</v>
      </c>
      <c r="R2" s="16">
        <v>2.5723786145600499E-2</v>
      </c>
      <c r="S2" s="16">
        <v>7.6112724123796896E-2</v>
      </c>
      <c r="T2" s="16">
        <v>8.1533898836026603E-2</v>
      </c>
      <c r="U2" s="16">
        <v>4.4716084719301399E-2</v>
      </c>
      <c r="V2" s="16">
        <v>6.5758126082074098E-2</v>
      </c>
      <c r="W2" s="16">
        <v>2.24952104106491E-2</v>
      </c>
      <c r="X2" s="16">
        <v>5.2654524429721801E-2</v>
      </c>
      <c r="Y2" s="16">
        <v>0.35205154566902103</v>
      </c>
      <c r="Z2" s="16">
        <v>0.19277217659700999</v>
      </c>
      <c r="AA2" s="16">
        <v>0.152906282118148</v>
      </c>
      <c r="AB2" s="16">
        <v>0.21650663975050999</v>
      </c>
      <c r="AC2" s="16">
        <v>0.12671045984358301</v>
      </c>
      <c r="AD2" s="16">
        <v>4.0212912833418102E-2</v>
      </c>
      <c r="AE2" s="16">
        <v>0.114795166252102</v>
      </c>
    </row>
    <row r="3" spans="1:31" x14ac:dyDescent="0.2">
      <c r="A3" s="13">
        <v>2</v>
      </c>
      <c r="B3" s="17" t="s">
        <v>16</v>
      </c>
      <c r="C3" s="18" t="s">
        <v>132</v>
      </c>
      <c r="D3" s="17" t="s">
        <v>85</v>
      </c>
      <c r="E3" s="17" t="s">
        <v>132</v>
      </c>
      <c r="F3" s="17" t="s">
        <v>32</v>
      </c>
      <c r="G3" s="17" t="s">
        <v>118</v>
      </c>
      <c r="H3" s="19">
        <v>3.3375494511298599E-2</v>
      </c>
      <c r="I3" s="19">
        <v>5.2385022796555498E-2</v>
      </c>
      <c r="J3" s="19">
        <v>1.1499266301283499E-2</v>
      </c>
      <c r="K3" s="19">
        <v>2.25092638399975E-2</v>
      </c>
      <c r="L3" s="19">
        <v>8.2342454844883201E-2</v>
      </c>
      <c r="M3" s="19">
        <v>2.0059645010326701E-3</v>
      </c>
      <c r="N3" s="19">
        <v>0.155632626281797</v>
      </c>
      <c r="O3" s="19">
        <v>3.93849186081165E-2</v>
      </c>
      <c r="P3" s="19">
        <v>3.3180721719489402E-2</v>
      </c>
      <c r="Q3" s="19">
        <v>1.3759820001388401E-2</v>
      </c>
      <c r="R3" s="19">
        <v>6.7943392646366105E-2</v>
      </c>
      <c r="S3" s="19">
        <v>2.0388525378470999E-2</v>
      </c>
      <c r="T3" s="19">
        <v>6.9810828115557097E-2</v>
      </c>
      <c r="U3" s="19">
        <v>3.9043349806681601E-2</v>
      </c>
      <c r="V3" s="19">
        <v>3.7469464092721103E-2</v>
      </c>
      <c r="W3" s="19">
        <v>7.9111925657094698E-2</v>
      </c>
      <c r="X3" s="19">
        <v>2.1002441324539701E-2</v>
      </c>
      <c r="Y3" s="19">
        <v>0.45552226283586</v>
      </c>
      <c r="Z3" s="19">
        <v>0.13680023938693001</v>
      </c>
      <c r="AA3" s="19">
        <v>9.5868913037674003E-2</v>
      </c>
      <c r="AB3" s="19">
        <v>0.399963859865758</v>
      </c>
      <c r="AC3" s="19">
        <v>0.14829654952999299</v>
      </c>
      <c r="AD3" s="19">
        <v>2.81346633775542E-2</v>
      </c>
      <c r="AE3" s="19">
        <v>3.3889175815455697E-2</v>
      </c>
    </row>
    <row r="4" spans="1:31" x14ac:dyDescent="0.2">
      <c r="A4" s="13">
        <v>3</v>
      </c>
      <c r="B4" s="14" t="s">
        <v>16</v>
      </c>
      <c r="C4" s="15" t="s">
        <v>132</v>
      </c>
      <c r="D4" s="14" t="s">
        <v>5</v>
      </c>
      <c r="E4" s="14" t="s">
        <v>132</v>
      </c>
      <c r="F4" s="14" t="s">
        <v>77</v>
      </c>
      <c r="G4" s="14" t="s">
        <v>118</v>
      </c>
      <c r="H4" s="16">
        <v>4.6526876510831497E-2</v>
      </c>
      <c r="I4" s="16">
        <v>4.6702064349392003E-2</v>
      </c>
      <c r="J4" s="16">
        <v>4.43156945402065E-2</v>
      </c>
      <c r="K4" s="16">
        <v>1.6273051948039699E-2</v>
      </c>
      <c r="L4" s="16">
        <v>6.7964677981217303E-2</v>
      </c>
      <c r="M4" s="16">
        <v>7.8676829546391203E-3</v>
      </c>
      <c r="N4" s="16">
        <v>0.23890382608362901</v>
      </c>
      <c r="O4" s="16">
        <v>1.5441488880698699E-2</v>
      </c>
      <c r="P4" s="16">
        <v>3.7207219492335998E-2</v>
      </c>
      <c r="Q4" s="16">
        <v>3.0082904715176401E-2</v>
      </c>
      <c r="R4" s="16">
        <v>7.6088589632533801E-2</v>
      </c>
      <c r="S4" s="16">
        <v>7.6598656547386706E-2</v>
      </c>
      <c r="T4" s="16">
        <v>0.17446374356484501</v>
      </c>
      <c r="U4" s="16">
        <v>7.5412292592864499E-2</v>
      </c>
      <c r="V4" s="16">
        <v>6.9314327985919494E-2</v>
      </c>
      <c r="W4" s="16">
        <v>5.7749314812873799E-2</v>
      </c>
      <c r="X4" s="16">
        <v>5.73449468697095E-2</v>
      </c>
      <c r="Y4" s="16">
        <v>0.78451201257393899</v>
      </c>
      <c r="Z4" s="16">
        <v>0.102941663011249</v>
      </c>
      <c r="AA4" s="16">
        <v>6.7974284173488206E-2</v>
      </c>
      <c r="AB4" s="16">
        <v>0.24248740138409899</v>
      </c>
      <c r="AC4" s="16">
        <v>5.2775784982739098E-2</v>
      </c>
      <c r="AD4" s="16">
        <v>3.8807906317618601E-2</v>
      </c>
      <c r="AE4" s="16">
        <v>5.5540375023640801E-2</v>
      </c>
    </row>
    <row r="5" spans="1:31" x14ac:dyDescent="0.2">
      <c r="A5" s="13">
        <v>4</v>
      </c>
      <c r="B5" s="17" t="s">
        <v>16</v>
      </c>
      <c r="C5" s="18" t="s">
        <v>132</v>
      </c>
      <c r="D5" s="17" t="s">
        <v>87</v>
      </c>
      <c r="E5" s="17" t="s">
        <v>132</v>
      </c>
      <c r="F5" s="17" t="s">
        <v>111</v>
      </c>
      <c r="G5" s="17" t="s">
        <v>118</v>
      </c>
      <c r="H5" s="19">
        <v>3.2800136920780001E-2</v>
      </c>
      <c r="I5" s="19">
        <v>4.8977785075185402E-2</v>
      </c>
      <c r="J5" s="19">
        <v>4.7514714957857203E-2</v>
      </c>
      <c r="K5" s="19">
        <v>2.7468679476317901E-2</v>
      </c>
      <c r="L5" s="19">
        <v>5.4480684311304102E-2</v>
      </c>
      <c r="M5" s="19">
        <v>8.8132118800261002E-3</v>
      </c>
      <c r="N5" s="19">
        <v>7.2162254482238203E-2</v>
      </c>
      <c r="O5" s="19">
        <v>3.7825373111695301E-2</v>
      </c>
      <c r="P5" s="19">
        <v>2.4928724305539E-2</v>
      </c>
      <c r="Q5" s="19">
        <v>8.8246932532388394E-3</v>
      </c>
      <c r="R5" s="19">
        <v>7.6158965067831E-2</v>
      </c>
      <c r="S5" s="19">
        <v>3.2502284874739003E-2</v>
      </c>
      <c r="T5" s="19">
        <v>8.6933452842979902E-2</v>
      </c>
      <c r="U5" s="19">
        <v>8.8634555110909299E-2</v>
      </c>
      <c r="V5" s="19">
        <v>0.107813703428742</v>
      </c>
      <c r="W5" s="19">
        <v>4.5580751350006297E-2</v>
      </c>
      <c r="X5" s="19">
        <v>2.55896700440628E-2</v>
      </c>
      <c r="Y5" s="19">
        <v>0.69472365593464303</v>
      </c>
      <c r="Z5" s="19">
        <v>5.8149140546781601E-2</v>
      </c>
      <c r="AA5" s="19">
        <v>8.8060131147561699E-2</v>
      </c>
      <c r="AB5" s="19">
        <v>0.21429871528017699</v>
      </c>
      <c r="AC5" s="19">
        <v>6.6838402127689905E-2</v>
      </c>
      <c r="AD5" s="19">
        <v>0.20410793809729799</v>
      </c>
      <c r="AE5" s="19">
        <v>6.5173605020622402E-2</v>
      </c>
    </row>
    <row r="6" spans="1:31" x14ac:dyDescent="0.2">
      <c r="A6" s="13">
        <v>5</v>
      </c>
      <c r="B6" s="14" t="s">
        <v>37</v>
      </c>
      <c r="C6" s="15" t="s">
        <v>132</v>
      </c>
      <c r="D6" s="14" t="s">
        <v>136</v>
      </c>
      <c r="E6" s="14" t="s">
        <v>132</v>
      </c>
      <c r="F6" s="14" t="s">
        <v>89</v>
      </c>
      <c r="G6" s="14" t="s">
        <v>118</v>
      </c>
      <c r="H6" s="16">
        <v>5.9640062749366597E-2</v>
      </c>
      <c r="I6" s="16">
        <v>8.0968312785689705E-3</v>
      </c>
      <c r="J6" s="16">
        <v>5.8959931938649103E-2</v>
      </c>
      <c r="K6" s="16">
        <v>7.7636660122408297E-3</v>
      </c>
      <c r="L6" s="16">
        <v>6.1967320275276003E-2</v>
      </c>
      <c r="M6" s="16">
        <v>3.4586907096748297E-2</v>
      </c>
      <c r="N6" s="16">
        <v>0.170739888957994</v>
      </c>
      <c r="O6" s="16">
        <v>6.0450560642026198E-3</v>
      </c>
      <c r="P6" s="16">
        <v>1.18635661937995E-2</v>
      </c>
      <c r="Q6" s="16">
        <v>7.1688349899907099E-3</v>
      </c>
      <c r="R6" s="16">
        <v>2.1174236167012701E-2</v>
      </c>
      <c r="S6" s="16">
        <v>6.8693814043302701E-2</v>
      </c>
      <c r="T6" s="16">
        <v>4.4418942451818599E-2</v>
      </c>
      <c r="U6" s="16">
        <v>8.5041172306418097E-2</v>
      </c>
      <c r="V6" s="16">
        <v>8.3541710065887301E-2</v>
      </c>
      <c r="W6" s="16">
        <v>9.4506976950595508E-3</v>
      </c>
      <c r="X6" s="16">
        <v>5.6067040474205403E-2</v>
      </c>
      <c r="Y6" s="16">
        <v>5.2541492072342801E-2</v>
      </c>
      <c r="Z6" s="16">
        <v>7.2161198642852406E-2</v>
      </c>
      <c r="AA6" s="16">
        <v>7.9999616624630093E-2</v>
      </c>
      <c r="AB6" s="16">
        <v>3.4700759583316698E-2</v>
      </c>
      <c r="AC6" s="16">
        <v>6.8640592437320194E-2</v>
      </c>
      <c r="AD6" s="16">
        <v>2.2906798294761398E-2</v>
      </c>
      <c r="AE6" s="16">
        <v>5.4038547069044103E-2</v>
      </c>
    </row>
    <row r="7" spans="1:31" x14ac:dyDescent="0.2">
      <c r="A7" s="13">
        <v>6</v>
      </c>
      <c r="B7" s="17" t="s">
        <v>52</v>
      </c>
      <c r="C7" s="18" t="s">
        <v>132</v>
      </c>
      <c r="D7" s="17" t="s">
        <v>86</v>
      </c>
      <c r="E7" s="17" t="s">
        <v>132</v>
      </c>
      <c r="F7" s="17" t="s">
        <v>113</v>
      </c>
      <c r="G7" s="17" t="s">
        <v>118</v>
      </c>
      <c r="H7" s="19">
        <v>2.2425691026566299E-2</v>
      </c>
      <c r="I7" s="19">
        <v>7.4148635484306599E-2</v>
      </c>
      <c r="J7" s="19">
        <v>6.7506860737671495E-2</v>
      </c>
      <c r="K7" s="19">
        <v>1.9484213015454301E-2</v>
      </c>
      <c r="L7" s="19">
        <v>6.3311562060304902E-2</v>
      </c>
      <c r="M7" s="19">
        <v>1.6590825250273999E-2</v>
      </c>
      <c r="N7" s="19">
        <v>7.6572895924212306E-2</v>
      </c>
      <c r="O7" s="19">
        <v>7.6361509021176097E-2</v>
      </c>
      <c r="P7" s="19">
        <v>1.5267386312340901E-2</v>
      </c>
      <c r="Q7" s="19">
        <v>1.82073222543493E-2</v>
      </c>
      <c r="R7" s="19">
        <v>7.97041437865285E-2</v>
      </c>
      <c r="S7" s="19">
        <v>6.7704339685462606E-2</v>
      </c>
      <c r="T7" s="19">
        <v>3.0484281645110699E-2</v>
      </c>
      <c r="U7" s="19">
        <v>7.5142218721553397E-2</v>
      </c>
      <c r="V7" s="19">
        <v>3.55171950932089E-2</v>
      </c>
      <c r="W7" s="19">
        <v>9.9123320793897907E-2</v>
      </c>
      <c r="X7" s="19">
        <v>2.4400591564808598E-2</v>
      </c>
      <c r="Y7" s="19">
        <v>5.12312810374113E-2</v>
      </c>
      <c r="Z7" s="19">
        <v>3.3399802813797397E-2</v>
      </c>
      <c r="AA7" s="19">
        <v>5.2354026497812303E-2</v>
      </c>
      <c r="AB7" s="19">
        <v>4.0883986393047002E-2</v>
      </c>
      <c r="AC7" s="19">
        <v>2.8583787200734501E-2</v>
      </c>
      <c r="AD7" s="19">
        <v>4.7706074246784601E-2</v>
      </c>
      <c r="AE7" s="19">
        <v>2.91003649121136E-2</v>
      </c>
    </row>
    <row r="8" spans="1:31" x14ac:dyDescent="0.2">
      <c r="A8" s="13">
        <v>7</v>
      </c>
      <c r="B8" s="14" t="s">
        <v>41</v>
      </c>
      <c r="C8" s="15" t="s">
        <v>132</v>
      </c>
      <c r="D8" s="14" t="s">
        <v>116</v>
      </c>
      <c r="E8" s="14" t="s">
        <v>132</v>
      </c>
      <c r="F8" s="14" t="s">
        <v>144</v>
      </c>
      <c r="G8" s="14" t="s">
        <v>118</v>
      </c>
      <c r="H8" s="16">
        <v>0.147943133138874</v>
      </c>
      <c r="I8" s="16">
        <v>3.7435448914730697E-2</v>
      </c>
      <c r="J8" s="16">
        <v>4.2261327987658297E-2</v>
      </c>
      <c r="K8" s="16">
        <v>2.5884408445318E-3</v>
      </c>
      <c r="L8" s="16">
        <v>1.5967260463882301E-2</v>
      </c>
      <c r="M8" s="16">
        <v>5.7182309378216098E-2</v>
      </c>
      <c r="N8" s="16">
        <v>5.4867613580869001E-2</v>
      </c>
      <c r="O8" s="16">
        <v>4.4756498651571303E-2</v>
      </c>
      <c r="P8" s="16">
        <v>2.59379427122064E-2</v>
      </c>
      <c r="Q8" s="16">
        <v>2.18070059213052E-2</v>
      </c>
      <c r="R8" s="16">
        <v>4.7217248163407298E-2</v>
      </c>
      <c r="S8" s="16">
        <v>5.4060165065612099E-2</v>
      </c>
      <c r="T8" s="16">
        <v>6.5962361146189294E-2</v>
      </c>
      <c r="U8" s="16">
        <v>4.2065790735872403E-2</v>
      </c>
      <c r="V8" s="16">
        <v>0.111343651964823</v>
      </c>
      <c r="W8" s="16">
        <v>3.3768913503395399E-2</v>
      </c>
      <c r="X8" s="16">
        <v>5.5174567375987402E-2</v>
      </c>
      <c r="Y8" s="16">
        <v>7.6978622983927797E-2</v>
      </c>
      <c r="Z8" s="16">
        <v>0.15261772524894601</v>
      </c>
      <c r="AA8" s="16">
        <v>4.5664385711532397E-2</v>
      </c>
      <c r="AB8" s="16">
        <v>4.9511433052179601E-2</v>
      </c>
      <c r="AC8" s="16">
        <v>6.6800202893077198E-2</v>
      </c>
      <c r="AD8" s="16">
        <v>3.9636932315606097E-2</v>
      </c>
      <c r="AE8" s="16">
        <v>3.28701807519092E-2</v>
      </c>
    </row>
    <row r="9" spans="1:31" x14ac:dyDescent="0.2">
      <c r="A9" s="13">
        <v>8</v>
      </c>
      <c r="B9" s="17" t="s">
        <v>105</v>
      </c>
      <c r="C9" s="18" t="s">
        <v>132</v>
      </c>
      <c r="D9" s="17" t="s">
        <v>157</v>
      </c>
      <c r="E9" s="17" t="s">
        <v>132</v>
      </c>
      <c r="F9" s="17" t="s">
        <v>90</v>
      </c>
      <c r="G9" s="17" t="s">
        <v>118</v>
      </c>
      <c r="H9" s="19">
        <v>3.99258898957374E-2</v>
      </c>
      <c r="I9" s="19">
        <v>5.6583302031262599E-2</v>
      </c>
      <c r="J9" s="19">
        <v>2.7708333921583901E-2</v>
      </c>
      <c r="K9" s="19">
        <v>7.4646658370325003E-3</v>
      </c>
      <c r="L9" s="19">
        <v>3.0518953702220498E-2</v>
      </c>
      <c r="M9" s="19">
        <v>4.6707869222547799E-2</v>
      </c>
      <c r="N9" s="19">
        <v>3.8346986038144598E-2</v>
      </c>
      <c r="O9" s="19">
        <v>6.97278810517237E-2</v>
      </c>
      <c r="P9" s="19">
        <v>1.31182826739028E-2</v>
      </c>
      <c r="Q9" s="19">
        <v>2.8597450716226901E-2</v>
      </c>
      <c r="R9" s="19">
        <v>8.3058276477041296E-2</v>
      </c>
      <c r="S9" s="19">
        <v>2.6134597310412198E-2</v>
      </c>
      <c r="T9" s="19">
        <v>7.4387447294899101E-2</v>
      </c>
      <c r="U9" s="19">
        <v>3.9047724016088997E-2</v>
      </c>
      <c r="V9" s="19">
        <v>8.8948812909604297E-2</v>
      </c>
      <c r="W9" s="19">
        <v>6.7766209297229804E-2</v>
      </c>
      <c r="X9" s="19">
        <v>3.5328436684536897E-2</v>
      </c>
      <c r="Y9" s="19">
        <v>7.3070435052551605E-2</v>
      </c>
      <c r="Z9" s="19">
        <v>8.3389723162097903E-2</v>
      </c>
      <c r="AA9" s="19">
        <v>2.38385585407298E-2</v>
      </c>
      <c r="AB9" s="19">
        <v>3.0399554636703401E-2</v>
      </c>
      <c r="AC9" s="19">
        <v>5.0076839165587403E-2</v>
      </c>
      <c r="AD9" s="19">
        <v>5.5368290323806198E-2</v>
      </c>
      <c r="AE9" s="19">
        <v>1.96047400245398E-2</v>
      </c>
    </row>
    <row r="10" spans="1:31" x14ac:dyDescent="0.2">
      <c r="A10" s="13">
        <v>9</v>
      </c>
      <c r="B10" s="14" t="s">
        <v>3</v>
      </c>
      <c r="C10" s="15" t="s">
        <v>132</v>
      </c>
      <c r="D10" s="14" t="s">
        <v>72</v>
      </c>
      <c r="E10" s="14" t="s">
        <v>132</v>
      </c>
      <c r="F10" s="14" t="s">
        <v>109</v>
      </c>
      <c r="G10" s="14" t="s">
        <v>118</v>
      </c>
      <c r="H10" s="16">
        <v>1.3609379105409099E-2</v>
      </c>
      <c r="I10" s="16">
        <v>6.16800854852394E-2</v>
      </c>
      <c r="J10" s="16">
        <v>3.0972864908769802E-2</v>
      </c>
      <c r="K10" s="16">
        <v>2.0282702340510401E-2</v>
      </c>
      <c r="L10" s="16">
        <v>6.2528921205111998E-2</v>
      </c>
      <c r="M10" s="16">
        <v>3.4422172020333E-2</v>
      </c>
      <c r="N10" s="16">
        <v>1.77929571478204E-2</v>
      </c>
      <c r="O10" s="16">
        <v>4.4718597074560697E-2</v>
      </c>
      <c r="P10" s="16">
        <v>3.1886977560958603E-2</v>
      </c>
      <c r="Q10" s="16">
        <v>5.3713056606821102E-2</v>
      </c>
      <c r="R10" s="16">
        <v>7.8806053162540607E-2</v>
      </c>
      <c r="S10" s="16">
        <v>3.9822831402415E-2</v>
      </c>
      <c r="T10" s="16">
        <v>3.3885672759239399E-2</v>
      </c>
      <c r="U10" s="16">
        <v>5.7926375811072003E-2</v>
      </c>
      <c r="V10" s="16">
        <v>3.8919638575933203E-2</v>
      </c>
      <c r="W10" s="16">
        <v>8.4076789339226493E-2</v>
      </c>
      <c r="X10" s="16">
        <v>3.1185655728217299E-2</v>
      </c>
      <c r="Y10" s="16">
        <v>7.4725766792705206E-2</v>
      </c>
      <c r="Z10" s="16">
        <v>4.8575543461562801E-2</v>
      </c>
      <c r="AA10" s="16">
        <v>4.47386392185571E-2</v>
      </c>
      <c r="AB10" s="16">
        <v>4.1066541608138302E-2</v>
      </c>
      <c r="AC10" s="16">
        <v>1.93089091583993E-2</v>
      </c>
      <c r="AD10" s="16">
        <v>6.4315290792479093E-2</v>
      </c>
      <c r="AE10" s="16">
        <v>1.8761386888582102E-2</v>
      </c>
    </row>
    <row r="11" spans="1:31" x14ac:dyDescent="0.2">
      <c r="A11" s="13">
        <v>10</v>
      </c>
      <c r="B11" s="17" t="s">
        <v>88</v>
      </c>
      <c r="C11" s="18" t="s">
        <v>132</v>
      </c>
      <c r="D11" s="17" t="s">
        <v>4</v>
      </c>
      <c r="E11" s="17" t="s">
        <v>132</v>
      </c>
      <c r="F11" s="17" t="s">
        <v>29</v>
      </c>
      <c r="G11" s="17" t="s">
        <v>118</v>
      </c>
      <c r="H11" s="19">
        <v>4.50383752920855E-2</v>
      </c>
      <c r="I11" s="19">
        <v>2.2483416048645798E-2</v>
      </c>
      <c r="J11" s="19">
        <v>6.0541412004081398E-2</v>
      </c>
      <c r="K11" s="19">
        <v>2.56825441631406E-2</v>
      </c>
      <c r="L11" s="19">
        <v>4.4736580291682697E-2</v>
      </c>
      <c r="M11" s="19">
        <v>5.6914627621379499E-2</v>
      </c>
      <c r="N11" s="19">
        <v>1.08179002968964E-2</v>
      </c>
      <c r="O11" s="19">
        <v>2.7113265385483198E-2</v>
      </c>
      <c r="P11" s="19">
        <v>1.73456867706809E-2</v>
      </c>
      <c r="Q11" s="19">
        <v>3.9751985414883999E-2</v>
      </c>
      <c r="R11" s="19">
        <v>1.7435336242995599E-2</v>
      </c>
      <c r="S11" s="19">
        <v>7.7245725479006405E-2</v>
      </c>
      <c r="T11" s="19">
        <v>2.3246968263627599E-2</v>
      </c>
      <c r="U11" s="19">
        <v>5.7504447064384498E-2</v>
      </c>
      <c r="V11" s="19">
        <v>6.2353194117150297E-2</v>
      </c>
      <c r="W11" s="19">
        <v>2.1098655935936E-2</v>
      </c>
      <c r="X11" s="19">
        <v>7.7003714965981795E-2</v>
      </c>
      <c r="Y11" s="19">
        <v>2.8496037721944301E-2</v>
      </c>
      <c r="Z11" s="19">
        <v>5.3819858994017603E-2</v>
      </c>
      <c r="AA11" s="19">
        <v>9.5684469785404402E-2</v>
      </c>
      <c r="AB11" s="19">
        <v>3.9303675579292603E-2</v>
      </c>
      <c r="AC11" s="19">
        <v>4.3856154607600201E-2</v>
      </c>
      <c r="AD11" s="19">
        <v>1.98259243656549E-2</v>
      </c>
      <c r="AE11" s="19">
        <v>5.9306321659054903E-2</v>
      </c>
    </row>
    <row r="12" spans="1:31" x14ac:dyDescent="0.2">
      <c r="A12" s="13">
        <v>12</v>
      </c>
      <c r="B12" s="17" t="s">
        <v>56</v>
      </c>
      <c r="C12" s="18" t="s">
        <v>132</v>
      </c>
      <c r="D12" s="17" t="s">
        <v>104</v>
      </c>
      <c r="E12" s="17" t="s">
        <v>132</v>
      </c>
      <c r="F12" s="17" t="s">
        <v>147</v>
      </c>
      <c r="G12" s="17" t="s">
        <v>118</v>
      </c>
      <c r="H12" s="19">
        <v>5.9393392468369201E-2</v>
      </c>
      <c r="I12" s="19">
        <v>2.02282420961645E-2</v>
      </c>
      <c r="J12" s="19">
        <v>3.5882486565490201E-2</v>
      </c>
      <c r="K12" s="19">
        <v>2.1911206305259501E-2</v>
      </c>
      <c r="L12" s="19">
        <v>3.5814084580397899E-2</v>
      </c>
      <c r="M12" s="19">
        <v>2.8971877738740201E-2</v>
      </c>
      <c r="N12" s="19">
        <v>7.7520779814074202E-3</v>
      </c>
      <c r="O12" s="19">
        <v>5.5769592265450398E-2</v>
      </c>
      <c r="P12" s="19">
        <v>3.87993036343382E-2</v>
      </c>
      <c r="Q12" s="19">
        <v>7.8462034777326793E-3</v>
      </c>
      <c r="R12" s="19">
        <v>1.6043901389677699E-2</v>
      </c>
      <c r="S12" s="19">
        <v>5.8166221876329E-2</v>
      </c>
      <c r="T12" s="19">
        <v>8.7851557274349207E-2</v>
      </c>
      <c r="U12" s="19">
        <v>2.08423252452858E-2</v>
      </c>
      <c r="V12" s="19">
        <v>2.61980580671312E-2</v>
      </c>
      <c r="W12" s="19">
        <v>2.0807003750520001E-2</v>
      </c>
      <c r="X12" s="19">
        <v>4.41913824664803E-2</v>
      </c>
      <c r="Y12" s="19">
        <v>8.5519542869857093E-2</v>
      </c>
      <c r="Z12" s="19">
        <v>6.9017591918114393E-2</v>
      </c>
      <c r="AA12" s="19">
        <v>1.49138201276592E-2</v>
      </c>
      <c r="AB12" s="19">
        <v>0.115362164146821</v>
      </c>
      <c r="AC12" s="19">
        <v>0.11067394966243201</v>
      </c>
      <c r="AD12" s="19">
        <v>7.0389345237436104E-2</v>
      </c>
      <c r="AE12" s="19">
        <v>7.7605711931954396E-2</v>
      </c>
    </row>
    <row r="13" spans="1:31" x14ac:dyDescent="0.2">
      <c r="A13" s="13">
        <v>13</v>
      </c>
      <c r="B13" s="14" t="s">
        <v>76</v>
      </c>
      <c r="C13" s="15" t="s">
        <v>132</v>
      </c>
      <c r="D13" s="14" t="s">
        <v>48</v>
      </c>
      <c r="E13" s="14" t="s">
        <v>132</v>
      </c>
      <c r="F13" s="14" t="s">
        <v>53</v>
      </c>
      <c r="G13" s="14" t="s">
        <v>118</v>
      </c>
      <c r="H13" s="16">
        <v>5.2043279721114499E-2</v>
      </c>
      <c r="I13" s="16">
        <v>8.1298309296393895E-2</v>
      </c>
      <c r="J13" s="16">
        <v>5.9772001920333197E-2</v>
      </c>
      <c r="K13" s="16">
        <v>2.08749173548607E-2</v>
      </c>
      <c r="L13" s="16">
        <v>6.3143134450324601E-2</v>
      </c>
      <c r="M13" s="16">
        <v>1.4363486583062199E-2</v>
      </c>
      <c r="N13" s="16">
        <v>5.9514074755032099E-2</v>
      </c>
      <c r="O13" s="16">
        <v>4.2617522444430699E-2</v>
      </c>
      <c r="P13" s="16">
        <v>4.4639358997272303E-2</v>
      </c>
      <c r="Q13" s="16">
        <v>1.26200931752844E-2</v>
      </c>
      <c r="R13" s="16">
        <v>0.10594486974069101</v>
      </c>
      <c r="S13" s="16">
        <v>4.7007040391588997E-2</v>
      </c>
      <c r="T13" s="16">
        <v>0.164359636071715</v>
      </c>
      <c r="U13" s="16">
        <v>0.16360039456919101</v>
      </c>
      <c r="V13" s="16">
        <v>9.7253438269813502E-2</v>
      </c>
      <c r="W13" s="16">
        <v>2.1183018134537799E-2</v>
      </c>
      <c r="X13" s="16">
        <v>5.2781202443974502E-2</v>
      </c>
      <c r="Y13" s="16">
        <v>0.141289165732009</v>
      </c>
      <c r="Z13" s="16">
        <v>0.123187731937089</v>
      </c>
      <c r="AA13" s="16">
        <v>4.7573867564820703E-2</v>
      </c>
      <c r="AB13" s="16">
        <v>0.13871266374111299</v>
      </c>
      <c r="AC13" s="16">
        <v>0.104508324356264</v>
      </c>
      <c r="AD13" s="16">
        <v>0.101018063709979</v>
      </c>
      <c r="AE13" s="16">
        <v>0.10839169773236999</v>
      </c>
    </row>
    <row r="14" spans="1:31" x14ac:dyDescent="0.2">
      <c r="A14" s="13">
        <v>14</v>
      </c>
      <c r="B14" s="17" t="s">
        <v>130</v>
      </c>
      <c r="C14" s="18" t="s">
        <v>132</v>
      </c>
      <c r="D14" s="17" t="s">
        <v>153</v>
      </c>
      <c r="E14" s="17" t="s">
        <v>132</v>
      </c>
      <c r="F14" s="17" t="s">
        <v>73</v>
      </c>
      <c r="G14" s="17" t="s">
        <v>118</v>
      </c>
      <c r="H14" s="19">
        <v>4.8058590140609203E-2</v>
      </c>
      <c r="I14" s="19">
        <v>4.5405656534119099E-2</v>
      </c>
      <c r="J14" s="19">
        <v>3.13715724217659E-2</v>
      </c>
      <c r="K14" s="19">
        <v>1.15699895355326E-2</v>
      </c>
      <c r="L14" s="19">
        <v>3.9097299034102098E-2</v>
      </c>
      <c r="M14" s="19">
        <v>5.62211817507993E-2</v>
      </c>
      <c r="N14" s="19">
        <v>2.6316024785198799E-2</v>
      </c>
      <c r="O14" s="19">
        <v>5.6475672449855498E-2</v>
      </c>
      <c r="P14" s="19">
        <v>1.5317705835941201E-2</v>
      </c>
      <c r="Q14" s="19">
        <v>2.0413986915818E-2</v>
      </c>
      <c r="R14" s="19">
        <v>4.3614956021665097E-2</v>
      </c>
      <c r="S14" s="19">
        <v>4.1982330399074098E-2</v>
      </c>
      <c r="T14" s="19">
        <v>7.7197760649907493E-2</v>
      </c>
      <c r="U14" s="19">
        <v>3.0793821579016702E-2</v>
      </c>
      <c r="V14" s="19">
        <v>8.0959091628232796E-2</v>
      </c>
      <c r="W14" s="19">
        <v>2.8604583787378901E-2</v>
      </c>
      <c r="X14" s="19">
        <v>7.4748195290104E-2</v>
      </c>
      <c r="Y14" s="19">
        <v>7.7876463553970196E-2</v>
      </c>
      <c r="Z14" s="19">
        <v>6.4849151276795802E-2</v>
      </c>
      <c r="AA14" s="19">
        <v>5.1230610792269399E-2</v>
      </c>
      <c r="AB14" s="19">
        <v>2.97303852262518E-2</v>
      </c>
      <c r="AC14" s="19">
        <v>4.50350537683709E-2</v>
      </c>
      <c r="AD14" s="19">
        <v>2.78326942392426E-2</v>
      </c>
      <c r="AE14" s="19">
        <v>3.46963556944705E-2</v>
      </c>
    </row>
    <row r="15" spans="1:31" x14ac:dyDescent="0.2">
      <c r="A15" s="13">
        <v>15</v>
      </c>
      <c r="B15" s="14" t="s">
        <v>13</v>
      </c>
      <c r="C15" s="15" t="s">
        <v>132</v>
      </c>
      <c r="D15" s="14" t="s">
        <v>54</v>
      </c>
      <c r="E15" s="14" t="s">
        <v>132</v>
      </c>
      <c r="F15" s="14" t="s">
        <v>103</v>
      </c>
      <c r="G15" s="14" t="s">
        <v>118</v>
      </c>
      <c r="H15" s="16">
        <v>8.4148596110569907E-2</v>
      </c>
      <c r="I15" s="16">
        <v>9.1585818309645795E-2</v>
      </c>
      <c r="J15" s="16">
        <v>3.5479104986614503E-2</v>
      </c>
      <c r="K15" s="16">
        <v>1.39329211055386E-2</v>
      </c>
      <c r="L15" s="16">
        <v>7.9360716084568905E-2</v>
      </c>
      <c r="M15" s="16">
        <v>2.97534268024135E-2</v>
      </c>
      <c r="N15" s="16">
        <v>0.181636940495157</v>
      </c>
      <c r="O15" s="16">
        <v>4.11807948040043E-2</v>
      </c>
      <c r="P15" s="16">
        <v>2.31027184105577E-2</v>
      </c>
      <c r="Q15" s="16">
        <v>1.3504650428527399E-2</v>
      </c>
      <c r="R15" s="16">
        <v>0.11080359759914001</v>
      </c>
      <c r="S15" s="16">
        <v>4.6373708295169798E-2</v>
      </c>
      <c r="T15" s="16">
        <v>8.7654171446875997E-2</v>
      </c>
      <c r="U15" s="16">
        <v>4.8368694914764601E-2</v>
      </c>
      <c r="V15" s="16">
        <v>0.20715180328600499</v>
      </c>
      <c r="W15" s="16">
        <v>3.8983278073573401E-2</v>
      </c>
      <c r="X15" s="16">
        <v>5.3581692397610098E-2</v>
      </c>
      <c r="Y15" s="16">
        <v>8.2132537467220504E-2</v>
      </c>
      <c r="Z15" s="16">
        <v>0.23371119969526799</v>
      </c>
      <c r="AA15" s="16">
        <v>7.84953353498535E-3</v>
      </c>
      <c r="AB15" s="16">
        <v>0.221059130648914</v>
      </c>
      <c r="AC15" s="16">
        <v>0.22218390578140099</v>
      </c>
      <c r="AD15" s="16">
        <v>0.18404727361794701</v>
      </c>
      <c r="AE15" s="16">
        <v>0.164072331836212</v>
      </c>
    </row>
    <row r="16" spans="1:31" x14ac:dyDescent="0.2">
      <c r="A16" s="13">
        <v>16</v>
      </c>
      <c r="B16" s="17" t="s">
        <v>47</v>
      </c>
      <c r="C16" s="18" t="s">
        <v>132</v>
      </c>
      <c r="D16" s="17" t="s">
        <v>131</v>
      </c>
      <c r="E16" s="17" t="s">
        <v>132</v>
      </c>
      <c r="F16" s="17" t="s">
        <v>8</v>
      </c>
      <c r="G16" s="17" t="s">
        <v>118</v>
      </c>
      <c r="H16" s="19">
        <v>5.5006537777675203E-2</v>
      </c>
      <c r="I16" s="19">
        <v>2.67384878714595E-2</v>
      </c>
      <c r="J16" s="19">
        <v>4.6843918560765502E-2</v>
      </c>
      <c r="K16" s="19">
        <v>1.06021593589673E-2</v>
      </c>
      <c r="L16" s="19">
        <v>4.1601829299492098E-2</v>
      </c>
      <c r="M16" s="19">
        <v>1.79193105980021E-2</v>
      </c>
      <c r="N16" s="19">
        <v>0.13727699253862499</v>
      </c>
      <c r="O16" s="19">
        <v>3.8795863080980002E-3</v>
      </c>
      <c r="P16" s="19">
        <v>1.5821038543125301E-2</v>
      </c>
      <c r="Q16" s="19">
        <v>1.43407407587966E-2</v>
      </c>
      <c r="R16" s="19">
        <v>1.3337649258016299E-2</v>
      </c>
      <c r="S16" s="19">
        <v>7.3275092312076198E-2</v>
      </c>
      <c r="T16" s="19">
        <v>5.7230024554297397E-2</v>
      </c>
      <c r="U16" s="19">
        <v>5.9845373089938599E-2</v>
      </c>
      <c r="V16" s="19">
        <v>6.7640833304937295E-2</v>
      </c>
      <c r="W16" s="19">
        <v>2.3123152687685E-2</v>
      </c>
      <c r="X16" s="19">
        <v>5.8411787735693901E-2</v>
      </c>
      <c r="Y16" s="19">
        <v>4.1934527813471199E-2</v>
      </c>
      <c r="Z16" s="19">
        <v>6.6278984959730503E-2</v>
      </c>
      <c r="AA16" s="19">
        <v>7.5989864202855403E-2</v>
      </c>
      <c r="AB16" s="19">
        <v>3.2550652555965197E-2</v>
      </c>
      <c r="AC16" s="19">
        <v>5.79681800490753E-2</v>
      </c>
      <c r="AD16" s="19">
        <v>1.5410376968956399E-2</v>
      </c>
      <c r="AE16" s="19">
        <v>4.3303757998886E-2</v>
      </c>
    </row>
    <row r="17" spans="1:31" x14ac:dyDescent="0.2">
      <c r="A17" s="13">
        <v>17</v>
      </c>
      <c r="B17" s="14" t="s">
        <v>76</v>
      </c>
      <c r="C17" s="15" t="s">
        <v>132</v>
      </c>
      <c r="D17" s="14" t="s">
        <v>120</v>
      </c>
      <c r="E17" s="14" t="s">
        <v>132</v>
      </c>
      <c r="F17" s="14" t="s">
        <v>12</v>
      </c>
      <c r="G17" s="14" t="s">
        <v>118</v>
      </c>
      <c r="H17" s="16">
        <v>1.6590744840508001E-2</v>
      </c>
      <c r="I17" s="16">
        <v>7.5111088452680802E-2</v>
      </c>
      <c r="J17" s="16">
        <v>1.7253576315236201E-2</v>
      </c>
      <c r="K17" s="16">
        <v>1.37736374733359E-2</v>
      </c>
      <c r="L17" s="16">
        <v>6.2836270019683005E-2</v>
      </c>
      <c r="M17" s="16">
        <v>8.3417167094584094E-3</v>
      </c>
      <c r="N17" s="16">
        <v>9.8763872764129707E-2</v>
      </c>
      <c r="O17" s="16">
        <v>7.9751642562016695E-2</v>
      </c>
      <c r="P17" s="16">
        <v>1.5839290419048E-2</v>
      </c>
      <c r="Q17" s="16">
        <v>1.44837528924765E-2</v>
      </c>
      <c r="R17" s="16">
        <v>9.2327526482743602E-2</v>
      </c>
      <c r="S17" s="16">
        <v>7.9654915809587393E-3</v>
      </c>
      <c r="T17" s="16">
        <v>5.6228000566983599E-2</v>
      </c>
      <c r="U17" s="16">
        <v>4.3262528658985701E-2</v>
      </c>
      <c r="V17" s="16">
        <v>5.5133614858666601E-2</v>
      </c>
      <c r="W17" s="16">
        <v>5.5363209403412203E-2</v>
      </c>
      <c r="X17" s="16">
        <v>2.51586627832775E-2</v>
      </c>
      <c r="Y17" s="16">
        <v>0.101112058364378</v>
      </c>
      <c r="Z17" s="16">
        <v>0.15048867325560999</v>
      </c>
      <c r="AA17" s="16">
        <v>4.2020658506184902E-2</v>
      </c>
      <c r="AB17" s="16">
        <v>9.2306054758842598E-2</v>
      </c>
      <c r="AC17" s="16">
        <v>4.73348581390656E-2</v>
      </c>
      <c r="AD17" s="16">
        <v>7.8609878156304394E-2</v>
      </c>
      <c r="AE17" s="16">
        <v>4.7059561865062001E-2</v>
      </c>
    </row>
    <row r="18" spans="1:31" x14ac:dyDescent="0.2">
      <c r="A18" s="13">
        <v>18</v>
      </c>
      <c r="B18" s="17" t="s">
        <v>69</v>
      </c>
      <c r="C18" s="18" t="s">
        <v>132</v>
      </c>
      <c r="D18" s="17" t="s">
        <v>102</v>
      </c>
      <c r="E18" s="17" t="s">
        <v>132</v>
      </c>
      <c r="F18" s="17" t="s">
        <v>93</v>
      </c>
      <c r="G18" s="17" t="s">
        <v>118</v>
      </c>
      <c r="H18" s="19">
        <v>2.94665629983983E-2</v>
      </c>
      <c r="I18" s="19">
        <v>5.08837533548104E-2</v>
      </c>
      <c r="J18" s="19">
        <v>6.7198528854092596E-2</v>
      </c>
      <c r="K18" s="19">
        <v>1.7976668916346802E-2</v>
      </c>
      <c r="L18" s="19">
        <v>5.0552531836138399E-2</v>
      </c>
      <c r="M18" s="19">
        <v>1.1062915642687099E-2</v>
      </c>
      <c r="N18" s="19">
        <v>2.0281024186636999E-2</v>
      </c>
      <c r="O18" s="19">
        <v>2.3869182326894799E-2</v>
      </c>
      <c r="P18" s="19">
        <v>8.0772869811523706E-3</v>
      </c>
      <c r="Q18" s="19">
        <v>4.3491658626873902E-2</v>
      </c>
      <c r="R18" s="19">
        <v>4.4341497541687397E-2</v>
      </c>
      <c r="S18" s="19">
        <v>6.8206536562847503E-2</v>
      </c>
      <c r="T18" s="19">
        <v>4.35869835667754E-2</v>
      </c>
      <c r="U18" s="19">
        <v>7.8891711968564399E-2</v>
      </c>
      <c r="V18" s="19">
        <v>3.2410471111609801E-2</v>
      </c>
      <c r="W18" s="19">
        <v>6.6379290336700703E-2</v>
      </c>
      <c r="X18" s="19">
        <v>4.1577916525259398E-2</v>
      </c>
      <c r="Y18" s="19">
        <v>0.69307599869634395</v>
      </c>
      <c r="Z18" s="19">
        <v>6.9841682455818593E-2</v>
      </c>
      <c r="AA18" s="19">
        <v>8.8080661567389695E-2</v>
      </c>
      <c r="AB18" s="19">
        <v>0.12385361708482499</v>
      </c>
      <c r="AC18" s="19">
        <v>7.0502337608311205E-2</v>
      </c>
      <c r="AD18" s="19">
        <v>6.43385826493513E-2</v>
      </c>
      <c r="AE18" s="19">
        <v>2.2520181416633499E-2</v>
      </c>
    </row>
    <row r="19" spans="1:31" x14ac:dyDescent="0.2">
      <c r="A19" s="13">
        <v>19</v>
      </c>
      <c r="B19" s="14" t="s">
        <v>55</v>
      </c>
      <c r="C19" s="15" t="s">
        <v>132</v>
      </c>
      <c r="D19" s="14" t="s">
        <v>156</v>
      </c>
      <c r="E19" s="14" t="s">
        <v>132</v>
      </c>
      <c r="F19" s="14" t="s">
        <v>106</v>
      </c>
      <c r="G19" s="14" t="s">
        <v>118</v>
      </c>
      <c r="H19" s="16">
        <v>1.25607872626162E-2</v>
      </c>
      <c r="I19" s="16">
        <v>4.61913788485913E-2</v>
      </c>
      <c r="J19" s="16">
        <v>3.4911547316062698E-2</v>
      </c>
      <c r="K19" s="16">
        <v>3.7488460577759799E-3</v>
      </c>
      <c r="L19" s="16">
        <v>7.4026134131761401E-2</v>
      </c>
      <c r="M19" s="16">
        <v>1.5584356436573301E-2</v>
      </c>
      <c r="N19" s="16">
        <v>2.7473979328453298E-2</v>
      </c>
      <c r="O19" s="16">
        <v>4.2078651943283703E-2</v>
      </c>
      <c r="P19" s="16">
        <v>2.4932147809553301E-2</v>
      </c>
      <c r="Q19" s="16">
        <v>4.1600627496167199E-2</v>
      </c>
      <c r="R19" s="16">
        <v>8.7524158191244705E-2</v>
      </c>
      <c r="S19" s="16">
        <v>4.3418465228415297E-2</v>
      </c>
      <c r="T19" s="16">
        <v>3.35188645030964E-2</v>
      </c>
      <c r="U19" s="16">
        <v>5.0076497288010502E-2</v>
      </c>
      <c r="V19" s="16">
        <v>3.6428156726172299E-2</v>
      </c>
      <c r="W19" s="16">
        <v>0.101680756784875</v>
      </c>
      <c r="X19" s="16">
        <v>3.2075607082838499E-2</v>
      </c>
      <c r="Y19" s="16">
        <v>5.5922988594181003E-2</v>
      </c>
      <c r="Z19" s="16">
        <v>9.6545482973141999E-3</v>
      </c>
      <c r="AA19" s="16">
        <v>3.6842336863230601E-2</v>
      </c>
      <c r="AB19" s="16">
        <v>4.9258088899663197E-2</v>
      </c>
      <c r="AC19" s="16">
        <v>1.3444079067774801E-2</v>
      </c>
      <c r="AD19" s="16">
        <v>6.32747514261114E-2</v>
      </c>
      <c r="AE19" s="16">
        <v>3.5752100934581699E-2</v>
      </c>
    </row>
    <row r="20" spans="1:31" x14ac:dyDescent="0.2">
      <c r="A20" s="13">
        <v>20</v>
      </c>
      <c r="B20" s="17" t="s">
        <v>142</v>
      </c>
      <c r="C20" s="18" t="s">
        <v>132</v>
      </c>
      <c r="D20" s="17" t="s">
        <v>74</v>
      </c>
      <c r="E20" s="17" t="s">
        <v>132</v>
      </c>
      <c r="F20" s="17" t="s">
        <v>20</v>
      </c>
      <c r="G20" s="17" t="s">
        <v>118</v>
      </c>
      <c r="H20" s="19">
        <v>6.0271928458288E-2</v>
      </c>
      <c r="I20" s="19">
        <v>0.150483655647597</v>
      </c>
      <c r="J20" s="19">
        <v>7.9460822362736203E-2</v>
      </c>
      <c r="K20" s="19">
        <v>1.5566721205593499E-2</v>
      </c>
      <c r="L20" s="19">
        <v>4.0572737661366501E-2</v>
      </c>
      <c r="M20" s="19">
        <v>2.17143375276811E-2</v>
      </c>
      <c r="N20" s="19">
        <v>8.26801120720385E-2</v>
      </c>
      <c r="O20" s="19">
        <v>3.6578195457797898E-2</v>
      </c>
      <c r="P20" s="19">
        <v>1.08822996594741E-2</v>
      </c>
      <c r="Q20" s="19">
        <v>1.69802507129578E-3</v>
      </c>
      <c r="R20" s="19">
        <v>0.17749957968771801</v>
      </c>
      <c r="S20" s="19">
        <v>4.2919170223765298E-2</v>
      </c>
      <c r="T20" s="19">
        <v>0.10533990752887901</v>
      </c>
      <c r="U20" s="19">
        <v>2.9427497312890499E-2</v>
      </c>
      <c r="V20" s="19">
        <v>0.15904748965489801</v>
      </c>
      <c r="W20" s="19">
        <v>6.6137209784406001E-2</v>
      </c>
      <c r="X20" s="19">
        <v>3.0699197809074499E-2</v>
      </c>
      <c r="Y20" s="19">
        <v>0.150854743871916</v>
      </c>
      <c r="Z20" s="19">
        <v>0.124196702786345</v>
      </c>
      <c r="AA20" s="19">
        <v>2.90186942498964E-2</v>
      </c>
      <c r="AB20" s="19">
        <v>0.159037221780301</v>
      </c>
      <c r="AC20" s="19">
        <v>0.17297466481585</v>
      </c>
      <c r="AD20" s="19">
        <v>0.163322657654978</v>
      </c>
      <c r="AE20" s="19">
        <v>0.136478092026286</v>
      </c>
    </row>
    <row r="21" spans="1:31" x14ac:dyDescent="0.2">
      <c r="A21" s="13">
        <v>21</v>
      </c>
      <c r="B21" s="14" t="s">
        <v>119</v>
      </c>
      <c r="C21" s="15" t="s">
        <v>132</v>
      </c>
      <c r="D21" s="14" t="s">
        <v>98</v>
      </c>
      <c r="E21" s="14" t="s">
        <v>132</v>
      </c>
      <c r="F21" s="14" t="s">
        <v>160</v>
      </c>
      <c r="G21" s="14" t="s">
        <v>118</v>
      </c>
      <c r="H21" s="16">
        <v>5.5885624965184302E-2</v>
      </c>
      <c r="I21" s="16">
        <v>4.9290474512805701E-2</v>
      </c>
      <c r="J21" s="16">
        <v>2.4124525144828001E-2</v>
      </c>
      <c r="K21" s="16">
        <v>2.1842950529917901E-2</v>
      </c>
      <c r="L21" s="16">
        <v>2.1879518468709201E-2</v>
      </c>
      <c r="M21" s="16">
        <v>4.2536579740414103E-2</v>
      </c>
      <c r="N21" s="16">
        <v>2.3196986202819299E-2</v>
      </c>
      <c r="O21" s="16">
        <v>5.5191765372884602E-2</v>
      </c>
      <c r="P21" s="16">
        <v>2.3169679660688801E-2</v>
      </c>
      <c r="Q21" s="16">
        <v>7.2703855903555404E-3</v>
      </c>
      <c r="R21" s="16">
        <v>4.3797526983919602E-2</v>
      </c>
      <c r="S21" s="16">
        <v>6.8828711621248304E-2</v>
      </c>
      <c r="T21" s="16">
        <v>0.143008665885511</v>
      </c>
      <c r="U21" s="16">
        <v>3.5463094737438E-2</v>
      </c>
      <c r="V21" s="16">
        <v>5.9449434139085301E-2</v>
      </c>
      <c r="W21" s="16">
        <v>2.38785566764412E-2</v>
      </c>
      <c r="X21" s="16">
        <v>7.4069959447632602E-2</v>
      </c>
      <c r="Y21" s="16">
        <v>9.2069475693903197E-2</v>
      </c>
      <c r="Z21" s="16">
        <v>7.5343420621222401E-2</v>
      </c>
      <c r="AA21" s="16">
        <v>6.7100976669610193E-2</v>
      </c>
      <c r="AB21" s="16">
        <v>9.0437350024975396E-2</v>
      </c>
      <c r="AC21" s="16">
        <v>6.0221967584295703E-2</v>
      </c>
      <c r="AD21" s="16">
        <v>2.2049050410699302E-2</v>
      </c>
      <c r="AE21" s="16">
        <v>5.2006010391717601E-2</v>
      </c>
    </row>
    <row r="22" spans="1:31" x14ac:dyDescent="0.2">
      <c r="A22" s="13">
        <v>22</v>
      </c>
      <c r="B22" s="17" t="s">
        <v>101</v>
      </c>
      <c r="C22" s="18" t="s">
        <v>132</v>
      </c>
      <c r="D22" s="17" t="s">
        <v>152</v>
      </c>
      <c r="E22" s="17" t="s">
        <v>132</v>
      </c>
      <c r="F22" s="17" t="s">
        <v>158</v>
      </c>
      <c r="G22" s="17" t="s">
        <v>118</v>
      </c>
      <c r="H22" s="19">
        <v>2.7688859299209601E-2</v>
      </c>
      <c r="I22" s="19">
        <v>5.9479522218556402E-2</v>
      </c>
      <c r="J22" s="19">
        <v>5.6949718489451601E-2</v>
      </c>
      <c r="K22" s="19">
        <v>3.66538704929582E-2</v>
      </c>
      <c r="L22" s="19">
        <v>4.5897643577334099E-2</v>
      </c>
      <c r="M22" s="19">
        <v>2.8417081264512499E-2</v>
      </c>
      <c r="N22" s="19">
        <v>1.45557688526927E-2</v>
      </c>
      <c r="O22" s="19">
        <v>6.89727126506713E-2</v>
      </c>
      <c r="P22" s="19">
        <v>1.95655616496948E-2</v>
      </c>
      <c r="Q22" s="19">
        <v>5.3713647193154003E-2</v>
      </c>
      <c r="R22" s="19">
        <v>6.5603374951864898E-2</v>
      </c>
      <c r="S22" s="19">
        <v>3.2580528846993403E-2</v>
      </c>
      <c r="T22" s="19">
        <v>9.8146577529079307E-2</v>
      </c>
      <c r="U22" s="19">
        <v>9.29624956121851E-2</v>
      </c>
      <c r="V22" s="19">
        <v>4.1611810573984102E-2</v>
      </c>
      <c r="W22" s="19">
        <v>6.6315063253364406E-2</v>
      </c>
      <c r="X22" s="19">
        <v>3.2828137801574502E-2</v>
      </c>
      <c r="Y22" s="19">
        <v>0.435728837399741</v>
      </c>
      <c r="Z22" s="19">
        <v>6.5723884164630805E-2</v>
      </c>
      <c r="AA22" s="19">
        <v>2.2427606743119399E-2</v>
      </c>
      <c r="AB22" s="19">
        <v>0.154516878691873</v>
      </c>
      <c r="AC22" s="19">
        <v>2.3339616092323101E-2</v>
      </c>
      <c r="AD22" s="19">
        <v>3.81420495440251E-2</v>
      </c>
      <c r="AE22" s="19">
        <v>2.66150818756434E-2</v>
      </c>
    </row>
    <row r="23" spans="1:31" x14ac:dyDescent="0.2">
      <c r="A23" s="13">
        <v>23</v>
      </c>
      <c r="B23" s="14" t="s">
        <v>16</v>
      </c>
      <c r="C23" s="15" t="s">
        <v>132</v>
      </c>
      <c r="D23" s="14" t="s">
        <v>24</v>
      </c>
      <c r="E23" s="14" t="s">
        <v>132</v>
      </c>
      <c r="F23" s="14" t="s">
        <v>30</v>
      </c>
      <c r="G23" s="14" t="s">
        <v>118</v>
      </c>
      <c r="H23" s="16">
        <v>0.16001577749335399</v>
      </c>
      <c r="I23" s="16">
        <v>0.12290838065904</v>
      </c>
      <c r="J23" s="16">
        <v>6.8325316309643599E-2</v>
      </c>
      <c r="K23" s="16">
        <v>2.5643000739749799E-2</v>
      </c>
      <c r="L23" s="16">
        <v>5.0925286218145897E-2</v>
      </c>
      <c r="M23" s="16">
        <v>2.12499956869606E-2</v>
      </c>
      <c r="N23" s="16">
        <v>0.18319241485618601</v>
      </c>
      <c r="O23" s="16">
        <v>0.13400739062887301</v>
      </c>
      <c r="P23" s="16">
        <v>0.173076225922114</v>
      </c>
      <c r="Q23" s="16">
        <v>0.13844168693330799</v>
      </c>
      <c r="R23" s="16">
        <v>7.7775519757101994E-2</v>
      </c>
      <c r="S23" s="16">
        <v>5.0214878962475E-2</v>
      </c>
      <c r="T23" s="16">
        <v>0.179923730601217</v>
      </c>
      <c r="U23" s="16">
        <v>0.22845693093014899</v>
      </c>
      <c r="V23" s="16">
        <v>5.3947109214801697E-2</v>
      </c>
      <c r="W23" s="16">
        <v>4.1085047148170697E-2</v>
      </c>
      <c r="X23" s="16">
        <v>4.7643571533777802E-2</v>
      </c>
      <c r="Y23" s="16">
        <v>0.48563944063888997</v>
      </c>
      <c r="Z23" s="16">
        <v>0.16247183912826499</v>
      </c>
      <c r="AA23" s="16">
        <v>4.8795417876530002E-2</v>
      </c>
      <c r="AB23" s="16">
        <v>0.408800351792105</v>
      </c>
      <c r="AC23" s="16">
        <v>3.19067688615619E-2</v>
      </c>
      <c r="AD23" s="16">
        <v>2.0782317253733602E-2</v>
      </c>
      <c r="AE23" s="16">
        <v>3.3544096136463898E-2</v>
      </c>
    </row>
    <row r="24" spans="1:31" x14ac:dyDescent="0.2">
      <c r="A24" s="13">
        <v>24</v>
      </c>
      <c r="B24" s="17" t="s">
        <v>150</v>
      </c>
      <c r="C24" s="18" t="s">
        <v>132</v>
      </c>
      <c r="D24" s="17" t="s">
        <v>84</v>
      </c>
      <c r="E24" s="17" t="s">
        <v>132</v>
      </c>
      <c r="F24" s="17" t="s">
        <v>133</v>
      </c>
      <c r="G24" s="17" t="s">
        <v>118</v>
      </c>
      <c r="H24" s="19">
        <v>4.1609655877306098E-2</v>
      </c>
      <c r="I24" s="19">
        <v>2.7039681034736199E-2</v>
      </c>
      <c r="J24" s="19">
        <v>8.3348153924023893E-2</v>
      </c>
      <c r="K24" s="19">
        <v>2.0379147050390199E-2</v>
      </c>
      <c r="L24" s="19">
        <v>4.6789102922546101E-2</v>
      </c>
      <c r="M24" s="19">
        <v>5.5390149186768899E-2</v>
      </c>
      <c r="N24" s="19">
        <v>1.06730127225921E-2</v>
      </c>
      <c r="O24" s="19">
        <v>3.1512842302545099E-2</v>
      </c>
      <c r="P24" s="19">
        <v>1.42486660812532E-2</v>
      </c>
      <c r="Q24" s="19">
        <v>2.5647083763852E-2</v>
      </c>
      <c r="R24" s="19">
        <v>3.1562617693365901E-2</v>
      </c>
      <c r="S24" s="19">
        <v>9.7876451822958996E-2</v>
      </c>
      <c r="T24" s="19">
        <v>4.5865423958333901E-2</v>
      </c>
      <c r="U24" s="19">
        <v>6.9023133609958001E-2</v>
      </c>
      <c r="V24" s="19">
        <v>5.23183042081065E-2</v>
      </c>
      <c r="W24" s="19">
        <v>7.0131497831198999E-2</v>
      </c>
      <c r="X24" s="19">
        <v>8.6740154381154302E-2</v>
      </c>
      <c r="Y24" s="19">
        <v>0.12554265900295</v>
      </c>
      <c r="Z24" s="19">
        <v>4.60392274854085E-2</v>
      </c>
      <c r="AA24" s="19">
        <v>9.09731887520627E-2</v>
      </c>
      <c r="AB24" s="19">
        <v>0.15463931732665601</v>
      </c>
      <c r="AC24" s="19">
        <v>4.4528793331347599E-2</v>
      </c>
      <c r="AD24" s="19">
        <v>6.2388305646483601E-2</v>
      </c>
      <c r="AE24" s="19">
        <v>7.0789935749422397E-2</v>
      </c>
    </row>
    <row r="25" spans="1:31" x14ac:dyDescent="0.2">
      <c r="A25" s="13">
        <v>25</v>
      </c>
      <c r="B25" s="14" t="s">
        <v>16</v>
      </c>
      <c r="C25" s="15" t="s">
        <v>132</v>
      </c>
      <c r="D25" s="14" t="s">
        <v>100</v>
      </c>
      <c r="E25" s="14" t="s">
        <v>132</v>
      </c>
      <c r="F25" s="14" t="s">
        <v>43</v>
      </c>
      <c r="G25" s="14" t="s">
        <v>118</v>
      </c>
      <c r="H25" s="16">
        <v>0.16716628203512701</v>
      </c>
      <c r="I25" s="16">
        <v>0.12903616037932999</v>
      </c>
      <c r="J25" s="16">
        <v>6.2088041114580397E-2</v>
      </c>
      <c r="K25" s="16">
        <v>2.25532708535847E-2</v>
      </c>
      <c r="L25" s="16">
        <v>5.4106030112221398E-2</v>
      </c>
      <c r="M25" s="16">
        <v>1.8299467833131602E-2</v>
      </c>
      <c r="N25" s="16">
        <v>8.7564493884825206E-2</v>
      </c>
      <c r="O25" s="16">
        <v>9.67322147948214E-2</v>
      </c>
      <c r="P25" s="16">
        <v>5.9976181008700703E-2</v>
      </c>
      <c r="Q25" s="16">
        <v>0.115312469750333</v>
      </c>
      <c r="R25" s="16">
        <v>0.119259627425464</v>
      </c>
      <c r="S25" s="16">
        <v>3.72232647982269E-2</v>
      </c>
      <c r="T25" s="16">
        <v>3.9992582671673597E-2</v>
      </c>
      <c r="U25" s="16">
        <v>5.5176231351833097E-2</v>
      </c>
      <c r="V25" s="16">
        <v>2.1027370280553501E-2</v>
      </c>
      <c r="W25" s="16">
        <v>6.2110956604500202E-2</v>
      </c>
      <c r="X25" s="16">
        <v>3.3045353068460202E-2</v>
      </c>
      <c r="Y25" s="16">
        <v>0.52690513661278005</v>
      </c>
      <c r="Z25" s="16">
        <v>0.15019999860781499</v>
      </c>
      <c r="AA25" s="16">
        <v>4.6072359375664999E-2</v>
      </c>
      <c r="AB25" s="16">
        <v>4.68122254361443E-2</v>
      </c>
      <c r="AC25" s="16">
        <v>7.9130473832629403E-2</v>
      </c>
      <c r="AD25" s="16">
        <v>2.7609758885171799E-2</v>
      </c>
      <c r="AE25" s="16">
        <v>4.9208852985024802E-2</v>
      </c>
    </row>
    <row r="26" spans="1:31" x14ac:dyDescent="0.2">
      <c r="A26" s="13">
        <v>26</v>
      </c>
      <c r="B26" s="17" t="s">
        <v>137</v>
      </c>
      <c r="C26" s="18" t="s">
        <v>132</v>
      </c>
      <c r="D26" s="17" t="s">
        <v>122</v>
      </c>
      <c r="E26" s="17" t="s">
        <v>132</v>
      </c>
      <c r="F26" s="17" t="s">
        <v>49</v>
      </c>
      <c r="G26" s="17" t="s">
        <v>118</v>
      </c>
      <c r="H26" s="20" t="s">
        <v>25</v>
      </c>
      <c r="I26" s="19">
        <v>5.0384457797381502E-2</v>
      </c>
      <c r="J26" s="19">
        <v>3.9611058184153197E-2</v>
      </c>
      <c r="K26" s="19">
        <v>3.2766002024256197E-2</v>
      </c>
      <c r="L26" s="19">
        <v>7.4922883498771298E-2</v>
      </c>
      <c r="M26" s="19">
        <v>4.2736385277882503E-2</v>
      </c>
      <c r="N26" s="19">
        <v>1.09177514654224E-2</v>
      </c>
      <c r="O26" s="19">
        <v>1.2125463825710401E-2</v>
      </c>
      <c r="P26" s="19">
        <v>2.1723194164874199E-2</v>
      </c>
      <c r="Q26" s="19">
        <v>4.8559955449638002E-2</v>
      </c>
      <c r="R26" s="19">
        <v>8.2743891620949403E-2</v>
      </c>
      <c r="S26" s="19">
        <v>0.109684188101125</v>
      </c>
      <c r="T26" s="19">
        <v>1.6807788788629201E-2</v>
      </c>
      <c r="U26" s="19">
        <v>0.104136738407844</v>
      </c>
      <c r="V26" s="19">
        <v>4.1843222820102402E-2</v>
      </c>
      <c r="W26" s="19">
        <v>7.0225393417420096E-2</v>
      </c>
      <c r="X26" s="19">
        <v>8.6952344177965504E-2</v>
      </c>
      <c r="Y26" s="19">
        <v>8.1542902383506699E-2</v>
      </c>
      <c r="Z26" s="19">
        <v>5.56713371243421E-2</v>
      </c>
      <c r="AA26" s="19">
        <v>2.9029566310659699E-2</v>
      </c>
      <c r="AB26" s="19">
        <v>0.112726353462466</v>
      </c>
      <c r="AC26" s="19">
        <v>7.4421967365702599E-2</v>
      </c>
      <c r="AD26" s="19">
        <v>4.9311618229486098E-2</v>
      </c>
      <c r="AE26" s="19">
        <v>2.1397007798123101E-2</v>
      </c>
    </row>
    <row r="27" spans="1:31" x14ac:dyDescent="0.2">
      <c r="A27" s="13">
        <v>27</v>
      </c>
      <c r="B27" s="14" t="s">
        <v>7</v>
      </c>
      <c r="C27" s="15" t="s">
        <v>132</v>
      </c>
      <c r="D27" s="14" t="s">
        <v>110</v>
      </c>
      <c r="E27" s="14" t="s">
        <v>132</v>
      </c>
      <c r="F27" s="14" t="s">
        <v>91</v>
      </c>
      <c r="G27" s="14" t="s">
        <v>118</v>
      </c>
      <c r="H27" s="16">
        <v>3.6227829010236301E-2</v>
      </c>
      <c r="I27" s="16">
        <v>7.20480477100547E-2</v>
      </c>
      <c r="J27" s="16">
        <v>4.2967337641660601E-2</v>
      </c>
      <c r="K27" s="16">
        <v>8.3804014486760798E-3</v>
      </c>
      <c r="L27" s="16">
        <v>3.21886033585033E-2</v>
      </c>
      <c r="M27" s="16">
        <v>5.8326267317224803E-2</v>
      </c>
      <c r="N27" s="16">
        <v>0.18109622910005099</v>
      </c>
      <c r="O27" s="16">
        <v>7.0047065681992995E-2</v>
      </c>
      <c r="P27" s="16">
        <v>0.16249190521912901</v>
      </c>
      <c r="Q27" s="16">
        <v>5.4422737458713698E-2</v>
      </c>
      <c r="R27" s="16">
        <v>8.0007476615843592E-3</v>
      </c>
      <c r="S27" s="16">
        <v>7.26877774380391E-2</v>
      </c>
      <c r="T27" s="16">
        <v>0.10444680692646501</v>
      </c>
      <c r="U27" s="16">
        <v>1.48366090552557E-2</v>
      </c>
      <c r="V27" s="16">
        <v>9.9434530411891195E-2</v>
      </c>
      <c r="W27" s="16">
        <v>3.3002911761402298E-2</v>
      </c>
      <c r="X27" s="16">
        <v>7.4897422266703997E-2</v>
      </c>
      <c r="Y27" s="16">
        <v>0.19320579974406399</v>
      </c>
      <c r="Z27" s="16">
        <v>5.9573267086598297E-2</v>
      </c>
      <c r="AA27" s="16">
        <v>5.8277661776153303E-2</v>
      </c>
      <c r="AB27" s="16">
        <v>0.109418425926468</v>
      </c>
      <c r="AC27" s="16">
        <v>7.1147413477471902E-2</v>
      </c>
      <c r="AD27" s="16">
        <v>2.63164191978951E-2</v>
      </c>
      <c r="AE27" s="16">
        <v>5.4328334806207898E-2</v>
      </c>
    </row>
    <row r="28" spans="1:31" x14ac:dyDescent="0.2">
      <c r="A28" s="13">
        <v>28</v>
      </c>
      <c r="B28" s="17" t="s">
        <v>7</v>
      </c>
      <c r="C28" s="18" t="s">
        <v>132</v>
      </c>
      <c r="D28" s="17" t="s">
        <v>34</v>
      </c>
      <c r="E28" s="17" t="s">
        <v>132</v>
      </c>
      <c r="F28" s="17" t="s">
        <v>9</v>
      </c>
      <c r="G28" s="17" t="s">
        <v>118</v>
      </c>
      <c r="H28" s="19">
        <v>3.3446136944929199E-2</v>
      </c>
      <c r="I28" s="19">
        <v>0.11500872305275101</v>
      </c>
      <c r="J28" s="19">
        <v>4.6337431567594699E-2</v>
      </c>
      <c r="K28" s="19">
        <v>9.1653542693542703E-3</v>
      </c>
      <c r="L28" s="19">
        <v>6.10182463751879E-2</v>
      </c>
      <c r="M28" s="19">
        <v>2.5339263436438199E-2</v>
      </c>
      <c r="N28" s="19">
        <v>4.1310992227030198E-2</v>
      </c>
      <c r="O28" s="19">
        <v>4.6322445595444097E-3</v>
      </c>
      <c r="P28" s="19">
        <v>4.3396603730691902E-2</v>
      </c>
      <c r="Q28" s="19">
        <v>1.6421737559955199E-2</v>
      </c>
      <c r="R28" s="19">
        <v>9.33382973491554E-2</v>
      </c>
      <c r="S28" s="19">
        <v>2.9826385712319201E-2</v>
      </c>
      <c r="T28" s="19">
        <v>9.1382967581506103E-2</v>
      </c>
      <c r="U28" s="19">
        <v>8.7070130968501094E-2</v>
      </c>
      <c r="V28" s="19">
        <v>4.8815229429077699E-2</v>
      </c>
      <c r="W28" s="19">
        <v>8.8027728071389796E-2</v>
      </c>
      <c r="X28" s="19">
        <v>2.9603498558589202E-2</v>
      </c>
      <c r="Y28" s="19">
        <v>0.56384230495554299</v>
      </c>
      <c r="Z28" s="19">
        <v>0.104203064511804</v>
      </c>
      <c r="AA28" s="19">
        <v>6.9402589398965306E-2</v>
      </c>
      <c r="AB28" s="19">
        <v>0.214361211812824</v>
      </c>
      <c r="AC28" s="19">
        <v>1.0188815387865899E-2</v>
      </c>
      <c r="AD28" s="19">
        <v>0.10619586008527</v>
      </c>
      <c r="AE28" s="19">
        <v>4.8431939785404297E-2</v>
      </c>
    </row>
    <row r="29" spans="1:31" x14ac:dyDescent="0.2">
      <c r="A29" s="13">
        <v>29</v>
      </c>
      <c r="B29" s="14" t="s">
        <v>145</v>
      </c>
      <c r="C29" s="15" t="s">
        <v>132</v>
      </c>
      <c r="D29" s="14" t="s">
        <v>80</v>
      </c>
      <c r="E29" s="14" t="s">
        <v>132</v>
      </c>
      <c r="F29" s="14" t="s">
        <v>108</v>
      </c>
      <c r="G29" s="14" t="s">
        <v>118</v>
      </c>
      <c r="H29" s="16">
        <v>4.9906879843655098E-2</v>
      </c>
      <c r="I29" s="16">
        <v>1.9390759790304701E-2</v>
      </c>
      <c r="J29" s="16">
        <v>5.7388188629306003E-2</v>
      </c>
      <c r="K29" s="16">
        <v>8.8241310937984194E-3</v>
      </c>
      <c r="L29" s="16">
        <v>6.3170631409188299E-2</v>
      </c>
      <c r="M29" s="16">
        <v>5.1273050710178E-2</v>
      </c>
      <c r="N29" s="16">
        <v>2.7972292514444299E-2</v>
      </c>
      <c r="O29" s="16">
        <v>1.2993637280281399E-2</v>
      </c>
      <c r="P29" s="16">
        <v>1.9545906231865501E-2</v>
      </c>
      <c r="Q29" s="16">
        <v>5.8990887390679599E-2</v>
      </c>
      <c r="R29" s="16">
        <v>3.1648184791420599E-2</v>
      </c>
      <c r="S29" s="16">
        <v>6.6913915252764897E-2</v>
      </c>
      <c r="T29" s="16">
        <v>3.7875993015274403E-2</v>
      </c>
      <c r="U29" s="16">
        <v>8.2641084185487601E-2</v>
      </c>
      <c r="V29" s="16">
        <v>7.9511502117320595E-2</v>
      </c>
      <c r="W29" s="16">
        <v>6.1156460331196497E-2</v>
      </c>
      <c r="X29" s="16">
        <v>7.9473723053645598E-2</v>
      </c>
      <c r="Y29" s="16">
        <v>3.1827439160920401E-2</v>
      </c>
      <c r="Z29" s="16">
        <v>5.01231892060226E-2</v>
      </c>
      <c r="AA29" s="16">
        <v>7.3081965877792796E-2</v>
      </c>
      <c r="AB29" s="16">
        <v>5.0016407402522098E-2</v>
      </c>
      <c r="AC29" s="16">
        <v>4.6384980415864002E-2</v>
      </c>
      <c r="AD29" s="16">
        <v>2.0226774999455199E-2</v>
      </c>
      <c r="AE29" s="16">
        <v>4.9018488441699003E-2</v>
      </c>
    </row>
    <row r="30" spans="1:31" x14ac:dyDescent="0.2">
      <c r="A30" s="13">
        <v>30</v>
      </c>
      <c r="B30" s="17" t="s">
        <v>71</v>
      </c>
      <c r="C30" s="18" t="s">
        <v>132</v>
      </c>
      <c r="D30" s="17" t="s">
        <v>115</v>
      </c>
      <c r="E30" s="17" t="s">
        <v>132</v>
      </c>
      <c r="F30" s="17" t="s">
        <v>68</v>
      </c>
      <c r="G30" s="17" t="s">
        <v>118</v>
      </c>
      <c r="H30" s="19">
        <v>6.8580423396323906E-2</v>
      </c>
      <c r="I30" s="19">
        <v>7.2407893357403996E-2</v>
      </c>
      <c r="J30" s="19">
        <v>3.1095038946078301E-2</v>
      </c>
      <c r="K30" s="19">
        <v>3.4028274722742299E-3</v>
      </c>
      <c r="L30" s="19">
        <v>9.3517408364693799E-2</v>
      </c>
      <c r="M30" s="19">
        <v>2.3188339540333999E-2</v>
      </c>
      <c r="N30" s="19">
        <v>5.6949723071307197E-2</v>
      </c>
      <c r="O30" s="19">
        <v>4.4194569308009003E-2</v>
      </c>
      <c r="P30" s="19">
        <v>1.02844456527891E-2</v>
      </c>
      <c r="Q30" s="19">
        <v>1.1913674035444801E-2</v>
      </c>
      <c r="R30" s="19">
        <v>8.6734848602723E-2</v>
      </c>
      <c r="S30" s="19">
        <v>7.0677847539986599E-2</v>
      </c>
      <c r="T30" s="19">
        <v>0.128036996000471</v>
      </c>
      <c r="U30" s="19">
        <v>9.46576411013203E-2</v>
      </c>
      <c r="V30" s="19">
        <v>0.13896371476043601</v>
      </c>
      <c r="W30" s="19">
        <v>3.7819423018305202E-2</v>
      </c>
      <c r="X30" s="19">
        <v>4.2994697547199402E-2</v>
      </c>
      <c r="Y30" s="19">
        <v>0.14028688372159101</v>
      </c>
      <c r="Z30" s="19">
        <v>0.12652242964214599</v>
      </c>
      <c r="AA30" s="19">
        <v>1.9156269180038599E-2</v>
      </c>
      <c r="AB30" s="19">
        <v>0.18063160187354299</v>
      </c>
      <c r="AC30" s="19">
        <v>0.16848434715327801</v>
      </c>
      <c r="AD30" s="19">
        <v>0.115385442573086</v>
      </c>
      <c r="AE30" s="19">
        <v>0.116659202869856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E31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135</v>
      </c>
      <c r="I1" s="1" t="s">
        <v>70</v>
      </c>
      <c r="J1" s="1" t="s">
        <v>129</v>
      </c>
      <c r="K1" s="1" t="s">
        <v>128</v>
      </c>
      <c r="L1" s="1" t="s">
        <v>65</v>
      </c>
      <c r="M1" s="1" t="s">
        <v>64</v>
      </c>
      <c r="N1" s="2" t="s">
        <v>117</v>
      </c>
      <c r="O1" s="1" t="s">
        <v>155</v>
      </c>
      <c r="P1" s="2" t="s">
        <v>46</v>
      </c>
      <c r="Q1" s="1" t="s">
        <v>21</v>
      </c>
      <c r="R1" s="1" t="s">
        <v>33</v>
      </c>
      <c r="S1" s="1" t="s">
        <v>123</v>
      </c>
      <c r="T1" s="1" t="s">
        <v>26</v>
      </c>
      <c r="U1" s="1" t="s">
        <v>27</v>
      </c>
      <c r="V1" s="1" t="s">
        <v>146</v>
      </c>
      <c r="W1" s="1" t="s">
        <v>124</v>
      </c>
      <c r="X1" s="1" t="s">
        <v>45</v>
      </c>
      <c r="Y1" s="1" t="s">
        <v>44</v>
      </c>
      <c r="Z1" s="1" t="s">
        <v>1</v>
      </c>
      <c r="AA1" s="1" t="s">
        <v>17</v>
      </c>
      <c r="AB1" s="1" t="s">
        <v>112</v>
      </c>
      <c r="AC1" s="1" t="s">
        <v>96</v>
      </c>
      <c r="AD1" s="1" t="s">
        <v>95</v>
      </c>
      <c r="AE1" s="1" t="s">
        <v>126</v>
      </c>
    </row>
    <row r="2" spans="1:31" x14ac:dyDescent="0.2">
      <c r="A2" s="3">
        <v>1</v>
      </c>
      <c r="B2" s="4" t="s">
        <v>16</v>
      </c>
      <c r="C2" s="5" t="s">
        <v>132</v>
      </c>
      <c r="D2" s="4" t="s">
        <v>6</v>
      </c>
      <c r="E2" s="4" t="s">
        <v>132</v>
      </c>
      <c r="F2" s="4" t="s">
        <v>22</v>
      </c>
      <c r="G2" s="4" t="s">
        <v>118</v>
      </c>
      <c r="H2" s="21">
        <v>16619.672240893098</v>
      </c>
      <c r="I2" s="21">
        <v>-9576.5366929958</v>
      </c>
      <c r="J2" s="21">
        <v>-33420.416635898699</v>
      </c>
      <c r="K2" s="21">
        <v>20384107.593359102</v>
      </c>
      <c r="L2" s="21">
        <v>21977.5732715411</v>
      </c>
      <c r="M2" s="21">
        <v>3906249.8821670199</v>
      </c>
      <c r="N2" s="21">
        <v>38.6667199600749</v>
      </c>
      <c r="O2" s="21">
        <v>773.35429442223301</v>
      </c>
      <c r="P2" s="21">
        <v>4108.59079396178</v>
      </c>
      <c r="Q2" s="21">
        <v>50064.921912912003</v>
      </c>
      <c r="R2" s="21">
        <v>-3412.0415741462498</v>
      </c>
      <c r="S2" s="21">
        <v>47667.031572083499</v>
      </c>
      <c r="T2" s="21">
        <v>-1846.1495540248</v>
      </c>
      <c r="U2" s="21">
        <v>-51842.532342271603</v>
      </c>
      <c r="V2" s="21">
        <v>-636.70553425982303</v>
      </c>
      <c r="W2" s="21">
        <v>12316.642323104599</v>
      </c>
      <c r="X2" s="21">
        <v>70211.724776416799</v>
      </c>
      <c r="Y2" s="21">
        <v>37.300540686165299</v>
      </c>
      <c r="Z2" s="21">
        <v>166.00098835935299</v>
      </c>
      <c r="AA2" s="21">
        <v>340.79331096284</v>
      </c>
      <c r="AB2" s="21">
        <v>37.333383640069798</v>
      </c>
      <c r="AC2" s="21">
        <v>436.00672467814798</v>
      </c>
      <c r="AD2" s="21">
        <v>349.33760917239198</v>
      </c>
      <c r="AE2" s="21">
        <v>-1262.80281451679</v>
      </c>
    </row>
    <row r="3" spans="1:31" x14ac:dyDescent="0.2">
      <c r="A3" s="3">
        <v>2</v>
      </c>
      <c r="B3" s="7" t="s">
        <v>16</v>
      </c>
      <c r="C3" s="8" t="s">
        <v>132</v>
      </c>
      <c r="D3" s="7" t="s">
        <v>85</v>
      </c>
      <c r="E3" s="7" t="s">
        <v>132</v>
      </c>
      <c r="F3" s="7" t="s">
        <v>32</v>
      </c>
      <c r="G3" s="7" t="s">
        <v>118</v>
      </c>
      <c r="H3" s="22">
        <v>16897.9954800261</v>
      </c>
      <c r="I3" s="22">
        <v>-9448.5272245490996</v>
      </c>
      <c r="J3" s="22">
        <v>-35378.035577068302</v>
      </c>
      <c r="K3" s="22">
        <v>21055919.276838101</v>
      </c>
      <c r="L3" s="22">
        <v>20625.612641009498</v>
      </c>
      <c r="M3" s="22">
        <v>4010694.5622907202</v>
      </c>
      <c r="N3" s="22">
        <v>34.000041113383901</v>
      </c>
      <c r="O3" s="22">
        <v>691.35007899936704</v>
      </c>
      <c r="P3" s="22">
        <v>3995.8925156893602</v>
      </c>
      <c r="Q3" s="22">
        <v>48698.205556718101</v>
      </c>
      <c r="R3" s="22">
        <v>-3402.7072660580002</v>
      </c>
      <c r="S3" s="22">
        <v>47904.8750653073</v>
      </c>
      <c r="T3" s="22">
        <v>-1846.81623389832</v>
      </c>
      <c r="U3" s="22">
        <v>-51847.199063865402</v>
      </c>
      <c r="V3" s="22">
        <v>-652.03947087096503</v>
      </c>
      <c r="W3" s="22">
        <v>12251.9401589381</v>
      </c>
      <c r="X3" s="22">
        <v>66668.599961213695</v>
      </c>
      <c r="Y3" s="22">
        <v>48.6496301549885</v>
      </c>
      <c r="Z3" s="22">
        <v>149.33412359089499</v>
      </c>
      <c r="AA3" s="22">
        <v>342.93618334404903</v>
      </c>
      <c r="AB3" s="22">
        <v>24.666690233358</v>
      </c>
      <c r="AC3" s="22">
        <v>445.34037647293701</v>
      </c>
      <c r="AD3" s="22">
        <v>350.67097283957401</v>
      </c>
      <c r="AE3" s="22">
        <v>-1376.8098424239399</v>
      </c>
    </row>
    <row r="4" spans="1:31" x14ac:dyDescent="0.2">
      <c r="A4" s="3">
        <v>3</v>
      </c>
      <c r="B4" s="4" t="s">
        <v>16</v>
      </c>
      <c r="C4" s="5" t="s">
        <v>132</v>
      </c>
      <c r="D4" s="4" t="s">
        <v>5</v>
      </c>
      <c r="E4" s="4" t="s">
        <v>132</v>
      </c>
      <c r="F4" s="4" t="s">
        <v>77</v>
      </c>
      <c r="G4" s="4" t="s">
        <v>118</v>
      </c>
      <c r="H4" s="21">
        <v>16406.0954315013</v>
      </c>
      <c r="I4" s="21">
        <v>-9664.5424846154801</v>
      </c>
      <c r="J4" s="21">
        <v>-35138.526658762901</v>
      </c>
      <c r="K4" s="21">
        <v>21656933.790650502</v>
      </c>
      <c r="L4" s="21">
        <v>19347.1322992641</v>
      </c>
      <c r="M4" s="21">
        <v>4014955.0006538001</v>
      </c>
      <c r="N4" s="21">
        <v>38.666720986745197</v>
      </c>
      <c r="O4" s="21">
        <v>664.68213184655303</v>
      </c>
      <c r="P4" s="21">
        <v>3811.1754449037298</v>
      </c>
      <c r="Q4" s="21">
        <v>49096.940410779898</v>
      </c>
      <c r="R4" s="21">
        <v>-3454.7117630579801</v>
      </c>
      <c r="S4" s="21">
        <v>48671.761228281102</v>
      </c>
      <c r="T4" s="21">
        <v>-1832.1492826541901</v>
      </c>
      <c r="U4" s="21">
        <v>-51886.532795315099</v>
      </c>
      <c r="V4" s="21">
        <v>-609.37111556738898</v>
      </c>
      <c r="W4" s="21">
        <v>12630.2599181203</v>
      </c>
      <c r="X4" s="21">
        <v>68017.465648516096</v>
      </c>
      <c r="Y4" s="21">
        <v>22.040171898903701</v>
      </c>
      <c r="Z4" s="21">
        <v>136.00065193648001</v>
      </c>
      <c r="AA4" s="21">
        <v>310.53805618681298</v>
      </c>
      <c r="AB4" s="21">
        <v>33.333373746717498</v>
      </c>
      <c r="AC4" s="21">
        <v>422.00624460590598</v>
      </c>
      <c r="AD4" s="21">
        <v>331.337179598028</v>
      </c>
      <c r="AE4" s="21">
        <v>-1368.8093661227099</v>
      </c>
    </row>
    <row r="5" spans="1:31" x14ac:dyDescent="0.2">
      <c r="A5" s="3">
        <v>4</v>
      </c>
      <c r="B5" s="7" t="s">
        <v>16</v>
      </c>
      <c r="C5" s="8" t="s">
        <v>132</v>
      </c>
      <c r="D5" s="7" t="s">
        <v>87</v>
      </c>
      <c r="E5" s="7" t="s">
        <v>132</v>
      </c>
      <c r="F5" s="7" t="s">
        <v>111</v>
      </c>
      <c r="G5" s="7" t="s">
        <v>118</v>
      </c>
      <c r="H5" s="22">
        <v>101367.286887336</v>
      </c>
      <c r="I5" s="22">
        <v>7534.6563045287703</v>
      </c>
      <c r="J5" s="22">
        <v>29599.345185873401</v>
      </c>
      <c r="K5" s="22">
        <v>20964635.610965401</v>
      </c>
      <c r="L5" s="22">
        <v>12971.898420342801</v>
      </c>
      <c r="M5" s="22">
        <v>3826385.1718726698</v>
      </c>
      <c r="N5" s="22">
        <v>97.333666067807997</v>
      </c>
      <c r="O5" s="22">
        <v>1043.3714701219201</v>
      </c>
      <c r="P5" s="22">
        <v>4917.5132392614196</v>
      </c>
      <c r="Q5" s="22">
        <v>54652.346573743504</v>
      </c>
      <c r="R5" s="22">
        <v>3370.3990755814202</v>
      </c>
      <c r="S5" s="22">
        <v>57566.501206337503</v>
      </c>
      <c r="T5" s="22">
        <v>1139.3789968729</v>
      </c>
      <c r="U5" s="22">
        <v>34628.805259588</v>
      </c>
      <c r="V5" s="22">
        <v>760.687075625033</v>
      </c>
      <c r="W5" s="22">
        <v>14277.1405895918</v>
      </c>
      <c r="X5" s="22">
        <v>71438.007660660704</v>
      </c>
      <c r="Y5" s="22">
        <v>46.754009005103399</v>
      </c>
      <c r="Z5" s="22">
        <v>364.00464787281697</v>
      </c>
      <c r="AA5" s="22">
        <v>319.42926663267298</v>
      </c>
      <c r="AB5" s="22">
        <v>35.333378366725903</v>
      </c>
      <c r="AC5" s="22">
        <v>175.33441250666101</v>
      </c>
      <c r="AD5" s="22">
        <v>154.00085311817301</v>
      </c>
      <c r="AE5" s="22">
        <v>399.33893056533998</v>
      </c>
    </row>
    <row r="6" spans="1:31" x14ac:dyDescent="0.2">
      <c r="A6" s="3">
        <v>5</v>
      </c>
      <c r="B6" s="4" t="s">
        <v>37</v>
      </c>
      <c r="C6" s="5" t="s">
        <v>132</v>
      </c>
      <c r="D6" s="4" t="s">
        <v>136</v>
      </c>
      <c r="E6" s="4" t="s">
        <v>132</v>
      </c>
      <c r="F6" s="4" t="s">
        <v>89</v>
      </c>
      <c r="G6" s="4" t="s">
        <v>118</v>
      </c>
      <c r="H6" s="21">
        <v>280478.93097638898</v>
      </c>
      <c r="I6" s="21">
        <v>111893.159038832</v>
      </c>
      <c r="J6" s="21">
        <v>193441.597028408</v>
      </c>
      <c r="K6" s="21">
        <v>283896.83837015898</v>
      </c>
      <c r="L6" s="21">
        <v>54863.185451494697</v>
      </c>
      <c r="M6" s="21">
        <v>1036255.72147725</v>
      </c>
      <c r="N6" s="21">
        <v>137.33496546897001</v>
      </c>
      <c r="O6" s="21">
        <v>622.05893796318503</v>
      </c>
      <c r="P6" s="21">
        <v>1850.7565296642699</v>
      </c>
      <c r="Q6" s="21">
        <v>8331.5299908102697</v>
      </c>
      <c r="R6" s="21">
        <v>173313.137367177</v>
      </c>
      <c r="S6" s="21">
        <v>-474.28875217530202</v>
      </c>
      <c r="T6" s="21">
        <v>133842.150015892</v>
      </c>
      <c r="U6" s="21">
        <v>31629.899193495199</v>
      </c>
      <c r="V6" s="21">
        <v>61491.950307906998</v>
      </c>
      <c r="W6" s="21">
        <v>16443.858183406301</v>
      </c>
      <c r="X6" s="21">
        <v>3314.8826033893702</v>
      </c>
      <c r="Y6" s="21">
        <v>2745.7024030398302</v>
      </c>
      <c r="Z6" s="21">
        <v>210016.36108301501</v>
      </c>
      <c r="AA6" s="21">
        <v>25352.0501648918</v>
      </c>
      <c r="AB6" s="21">
        <v>36770.724209411201</v>
      </c>
      <c r="AC6" s="21">
        <v>98631.5816431235</v>
      </c>
      <c r="AD6" s="21">
        <v>80743.821225968801</v>
      </c>
      <c r="AE6" s="21">
        <v>212197.903951285</v>
      </c>
    </row>
    <row r="7" spans="1:31" x14ac:dyDescent="0.2">
      <c r="A7" s="3">
        <v>6</v>
      </c>
      <c r="B7" s="7" t="s">
        <v>52</v>
      </c>
      <c r="C7" s="8" t="s">
        <v>132</v>
      </c>
      <c r="D7" s="7" t="s">
        <v>86</v>
      </c>
      <c r="E7" s="7" t="s">
        <v>132</v>
      </c>
      <c r="F7" s="7" t="s">
        <v>113</v>
      </c>
      <c r="G7" s="7" t="s">
        <v>118</v>
      </c>
      <c r="H7" s="22">
        <v>887651.15782869398</v>
      </c>
      <c r="I7" s="22">
        <v>482689.27844857902</v>
      </c>
      <c r="J7" s="22">
        <v>657759.08280689397</v>
      </c>
      <c r="K7" s="22">
        <v>1849782.0818791001</v>
      </c>
      <c r="L7" s="22">
        <v>206460.258352526</v>
      </c>
      <c r="M7" s="22">
        <v>4262841.16955157</v>
      </c>
      <c r="N7" s="22">
        <v>693.35496711810504</v>
      </c>
      <c r="O7" s="22">
        <v>2339.6972861660001</v>
      </c>
      <c r="P7" s="22">
        <v>8367.9958477859309</v>
      </c>
      <c r="Q7" s="22">
        <v>31251.886223435398</v>
      </c>
      <c r="R7" s="22">
        <v>752579.50656876795</v>
      </c>
      <c r="S7" s="22">
        <v>6493.9108849786799</v>
      </c>
      <c r="T7" s="22">
        <v>469422.96488901501</v>
      </c>
      <c r="U7" s="22">
        <v>111674.653497205</v>
      </c>
      <c r="V7" s="22">
        <v>267135.25479891698</v>
      </c>
      <c r="W7" s="22">
        <v>68632.985432008107</v>
      </c>
      <c r="X7" s="22">
        <v>13520.091594039701</v>
      </c>
      <c r="Y7" s="22">
        <v>9325.7224767464104</v>
      </c>
      <c r="Z7" s="22">
        <v>925111.34852171096</v>
      </c>
      <c r="AA7" s="22">
        <v>97689.007847860004</v>
      </c>
      <c r="AB7" s="22">
        <v>140217.87649842701</v>
      </c>
      <c r="AC7" s="22">
        <v>419239.61488757899</v>
      </c>
      <c r="AD7" s="22">
        <v>345154.261136877</v>
      </c>
      <c r="AE7" s="22">
        <v>809592.56886603497</v>
      </c>
    </row>
    <row r="8" spans="1:31" x14ac:dyDescent="0.2">
      <c r="A8" s="3">
        <v>7</v>
      </c>
      <c r="B8" s="4" t="s">
        <v>41</v>
      </c>
      <c r="C8" s="5" t="s">
        <v>132</v>
      </c>
      <c r="D8" s="4" t="s">
        <v>116</v>
      </c>
      <c r="E8" s="4" t="s">
        <v>132</v>
      </c>
      <c r="F8" s="4" t="s">
        <v>144</v>
      </c>
      <c r="G8" s="4" t="s">
        <v>118</v>
      </c>
      <c r="H8" s="21">
        <v>2251181.4062985298</v>
      </c>
      <c r="I8" s="21">
        <v>1121010.3854764299</v>
      </c>
      <c r="J8" s="21">
        <v>1541525.5246005401</v>
      </c>
      <c r="K8" s="21">
        <v>4062987.9635401899</v>
      </c>
      <c r="L8" s="21">
        <v>542352.18307425</v>
      </c>
      <c r="M8" s="21">
        <v>10062765.041678701</v>
      </c>
      <c r="N8" s="21">
        <v>1706.78047430166</v>
      </c>
      <c r="O8" s="21">
        <v>6557.9863462752</v>
      </c>
      <c r="P8" s="21">
        <v>20601.936764198999</v>
      </c>
      <c r="Q8" s="21">
        <v>85562.616227614999</v>
      </c>
      <c r="R8" s="21">
        <v>1710479.5923917</v>
      </c>
      <c r="S8" s="21">
        <v>24853.698906522499</v>
      </c>
      <c r="T8" s="21">
        <v>1292460.94129434</v>
      </c>
      <c r="U8" s="21">
        <v>286074.44753585203</v>
      </c>
      <c r="V8" s="21">
        <v>636174.57338808</v>
      </c>
      <c r="W8" s="21">
        <v>133880.410864301</v>
      </c>
      <c r="X8" s="21">
        <v>51633.892568107702</v>
      </c>
      <c r="Y8" s="21">
        <v>25509.037746710699</v>
      </c>
      <c r="Z8" s="21">
        <v>2380003.8561387202</v>
      </c>
      <c r="AA8" s="21">
        <v>251899.443578351</v>
      </c>
      <c r="AB8" s="21">
        <v>366277.06998921698</v>
      </c>
      <c r="AC8" s="21">
        <v>1023228.70092159</v>
      </c>
      <c r="AD8" s="21">
        <v>808484.49287196004</v>
      </c>
      <c r="AE8" s="21">
        <v>2144833.8139058198</v>
      </c>
    </row>
    <row r="9" spans="1:31" x14ac:dyDescent="0.2">
      <c r="A9" s="3">
        <v>8</v>
      </c>
      <c r="B9" s="7" t="s">
        <v>105</v>
      </c>
      <c r="C9" s="8" t="s">
        <v>132</v>
      </c>
      <c r="D9" s="7" t="s">
        <v>157</v>
      </c>
      <c r="E9" s="7" t="s">
        <v>132</v>
      </c>
      <c r="F9" s="7" t="s">
        <v>90</v>
      </c>
      <c r="G9" s="7" t="s">
        <v>118</v>
      </c>
      <c r="H9" s="22">
        <v>9187943.6538460106</v>
      </c>
      <c r="I9" s="22">
        <v>4966822.7473561997</v>
      </c>
      <c r="J9" s="22">
        <v>6366510.50884574</v>
      </c>
      <c r="K9" s="22">
        <v>15736035.575889099</v>
      </c>
      <c r="L9" s="22">
        <v>2296429.66794727</v>
      </c>
      <c r="M9" s="22">
        <v>40160715.989546403</v>
      </c>
      <c r="N9" s="22">
        <v>6720.2943413154499</v>
      </c>
      <c r="O9" s="22">
        <v>24862.8394612132</v>
      </c>
      <c r="P9" s="22">
        <v>83143.097142108294</v>
      </c>
      <c r="Q9" s="22">
        <v>346313.11917783198</v>
      </c>
      <c r="R9" s="22">
        <v>7481794.5352966804</v>
      </c>
      <c r="S9" s="22">
        <v>117529.831214537</v>
      </c>
      <c r="T9" s="22">
        <v>5252141.73845316</v>
      </c>
      <c r="U9" s="22">
        <v>1152217.09440456</v>
      </c>
      <c r="V9" s="22">
        <v>2942875.7848084699</v>
      </c>
      <c r="W9" s="22">
        <v>559690.03895127901</v>
      </c>
      <c r="X9" s="22">
        <v>210134.51734894401</v>
      </c>
      <c r="Y9" s="22">
        <v>98578.268724904003</v>
      </c>
      <c r="Z9" s="22">
        <v>10111638.9597748</v>
      </c>
      <c r="AA9" s="22">
        <v>984195.16233705694</v>
      </c>
      <c r="AB9" s="22">
        <v>1467706.57799208</v>
      </c>
      <c r="AC9" s="22">
        <v>4291522.1458401401</v>
      </c>
      <c r="AD9" s="22">
        <v>3440478.5147133302</v>
      </c>
      <c r="AE9" s="22">
        <v>8273517.2629275797</v>
      </c>
    </row>
    <row r="10" spans="1:31" x14ac:dyDescent="0.2">
      <c r="A10" s="3">
        <v>9</v>
      </c>
      <c r="B10" s="4" t="s">
        <v>3</v>
      </c>
      <c r="C10" s="5" t="s">
        <v>132</v>
      </c>
      <c r="D10" s="4" t="s">
        <v>72</v>
      </c>
      <c r="E10" s="4" t="s">
        <v>132</v>
      </c>
      <c r="F10" s="4" t="s">
        <v>109</v>
      </c>
      <c r="G10" s="4" t="s">
        <v>118</v>
      </c>
      <c r="H10" s="21">
        <v>22654857.753878199</v>
      </c>
      <c r="I10" s="21">
        <v>12787555.4663292</v>
      </c>
      <c r="J10" s="21">
        <v>15678485.6382125</v>
      </c>
      <c r="K10" s="21">
        <v>36935730.073271699</v>
      </c>
      <c r="L10" s="21">
        <v>5422854.1319608903</v>
      </c>
      <c r="M10" s="21">
        <v>99155578.099913105</v>
      </c>
      <c r="N10" s="21">
        <v>16371.4889729599</v>
      </c>
      <c r="O10" s="21">
        <v>59573.129227011901</v>
      </c>
      <c r="P10" s="21">
        <v>201250.49949177401</v>
      </c>
      <c r="Q10" s="21">
        <v>837336.33645798895</v>
      </c>
      <c r="R10" s="21">
        <v>19090461.515410699</v>
      </c>
      <c r="S10" s="21">
        <v>312284.83476305398</v>
      </c>
      <c r="T10" s="21">
        <v>12203296.7607981</v>
      </c>
      <c r="U10" s="21">
        <v>2801619.7889492102</v>
      </c>
      <c r="V10" s="21">
        <v>7118108.6333376197</v>
      </c>
      <c r="W10" s="21">
        <v>1385014.7238549099</v>
      </c>
      <c r="X10" s="21">
        <v>543388.93419869605</v>
      </c>
      <c r="Y10" s="21">
        <v>230521.128497306</v>
      </c>
      <c r="Z10" s="21">
        <v>24919583.872595701</v>
      </c>
      <c r="AA10" s="21">
        <v>2939196.6132099801</v>
      </c>
      <c r="AB10" s="21">
        <v>3656470.06484051</v>
      </c>
      <c r="AC10" s="21">
        <v>10423983.1019252</v>
      </c>
      <c r="AD10" s="21">
        <v>8514631.7571479902</v>
      </c>
      <c r="AE10" s="21">
        <v>20106990.360858601</v>
      </c>
    </row>
    <row r="11" spans="1:31" x14ac:dyDescent="0.2">
      <c r="A11" s="3">
        <v>10</v>
      </c>
      <c r="B11" s="7" t="s">
        <v>88</v>
      </c>
      <c r="C11" s="8" t="s">
        <v>132</v>
      </c>
      <c r="D11" s="7" t="s">
        <v>4</v>
      </c>
      <c r="E11" s="7" t="s">
        <v>132</v>
      </c>
      <c r="F11" s="7" t="s">
        <v>29</v>
      </c>
      <c r="G11" s="7" t="s">
        <v>118</v>
      </c>
      <c r="H11" s="22">
        <v>85607836.547281697</v>
      </c>
      <c r="I11" s="22">
        <v>51500287.948565803</v>
      </c>
      <c r="J11" s="22">
        <v>64282592.834084399</v>
      </c>
      <c r="K11" s="22">
        <v>134268853.348012</v>
      </c>
      <c r="L11" s="22">
        <v>19958017.574816599</v>
      </c>
      <c r="M11" s="22">
        <v>381929049.876284</v>
      </c>
      <c r="N11" s="22">
        <v>64253.956622047001</v>
      </c>
      <c r="O11" s="22">
        <v>231694.729262988</v>
      </c>
      <c r="P11" s="22">
        <v>778973.11073297902</v>
      </c>
      <c r="Q11" s="22">
        <v>3667955.5773249101</v>
      </c>
      <c r="R11" s="22">
        <v>79071906.483135507</v>
      </c>
      <c r="S11" s="22">
        <v>1355035.1364901599</v>
      </c>
      <c r="T11" s="22">
        <v>46368315.856742203</v>
      </c>
      <c r="U11" s="22">
        <v>10022286.921825301</v>
      </c>
      <c r="V11" s="22">
        <v>26910693.088222601</v>
      </c>
      <c r="W11" s="22">
        <v>5587336.1219205596</v>
      </c>
      <c r="X11" s="22">
        <v>2462602.2197054001</v>
      </c>
      <c r="Y11" s="22">
        <v>859167.02005686995</v>
      </c>
      <c r="Z11" s="22">
        <v>95960308.828380704</v>
      </c>
      <c r="AA11" s="22">
        <v>12068132.0917772</v>
      </c>
      <c r="AB11" s="22">
        <v>13358196.9788858</v>
      </c>
      <c r="AC11" s="22">
        <v>37246527.889318898</v>
      </c>
      <c r="AD11" s="22">
        <v>32195623.4270886</v>
      </c>
      <c r="AE11" s="22">
        <v>77089455.702536196</v>
      </c>
    </row>
    <row r="12" spans="1:31" x14ac:dyDescent="0.2">
      <c r="A12" s="3">
        <v>11</v>
      </c>
      <c r="B12" s="10" t="s">
        <v>83</v>
      </c>
      <c r="C12" s="3" t="s">
        <v>132</v>
      </c>
      <c r="D12" s="10" t="s">
        <v>4</v>
      </c>
      <c r="E12" s="10" t="s">
        <v>132</v>
      </c>
      <c r="F12" s="10" t="s">
        <v>132</v>
      </c>
      <c r="G12" s="10" t="s">
        <v>132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56</v>
      </c>
      <c r="C13" s="8" t="s">
        <v>132</v>
      </c>
      <c r="D13" s="7" t="s">
        <v>104</v>
      </c>
      <c r="E13" s="7" t="s">
        <v>132</v>
      </c>
      <c r="F13" s="7" t="s">
        <v>147</v>
      </c>
      <c r="G13" s="7" t="s">
        <v>118</v>
      </c>
      <c r="H13" s="22">
        <v>286952.25372809998</v>
      </c>
      <c r="I13" s="22">
        <v>164951.34036903901</v>
      </c>
      <c r="J13" s="22">
        <v>222820.37314630501</v>
      </c>
      <c r="K13" s="22">
        <v>-720900.31143318198</v>
      </c>
      <c r="L13" s="22">
        <v>76717.002505546494</v>
      </c>
      <c r="M13" s="22">
        <v>1490244.8027830401</v>
      </c>
      <c r="N13" s="22">
        <v>418.67565343384899</v>
      </c>
      <c r="O13" s="22">
        <v>1154.7979856674699</v>
      </c>
      <c r="P13" s="22">
        <v>4421.5414518232201</v>
      </c>
      <c r="Q13" s="22">
        <v>10219.953621321099</v>
      </c>
      <c r="R13" s="22">
        <v>248745.87176876501</v>
      </c>
      <c r="S13" s="22">
        <v>-6161.9749456774698</v>
      </c>
      <c r="T13" s="22">
        <v>189693.19021200199</v>
      </c>
      <c r="U13" s="22">
        <v>45599.911257208398</v>
      </c>
      <c r="V13" s="22">
        <v>92841.766882865297</v>
      </c>
      <c r="W13" s="22">
        <v>17638.481127748601</v>
      </c>
      <c r="X13" s="22">
        <v>2499.97335533774</v>
      </c>
      <c r="Y13" s="22">
        <v>3986.2103870985102</v>
      </c>
      <c r="Z13" s="22">
        <v>304578.964708624</v>
      </c>
      <c r="AA13" s="22">
        <v>74867.181946609795</v>
      </c>
      <c r="AB13" s="22">
        <v>51617.368946938797</v>
      </c>
      <c r="AC13" s="22">
        <v>149688.28699003201</v>
      </c>
      <c r="AD13" s="22">
        <v>125711.852487859</v>
      </c>
      <c r="AE13" s="22">
        <v>324026.75583927002</v>
      </c>
    </row>
    <row r="14" spans="1:31" x14ac:dyDescent="0.2">
      <c r="A14" s="3">
        <v>13</v>
      </c>
      <c r="B14" s="4" t="s">
        <v>76</v>
      </c>
      <c r="C14" s="5" t="s">
        <v>132</v>
      </c>
      <c r="D14" s="4" t="s">
        <v>48</v>
      </c>
      <c r="E14" s="4" t="s">
        <v>132</v>
      </c>
      <c r="F14" s="4" t="s">
        <v>53</v>
      </c>
      <c r="G14" s="4" t="s">
        <v>118</v>
      </c>
      <c r="H14" s="21">
        <v>-68146.635834275105</v>
      </c>
      <c r="I14" s="21">
        <v>4067.4071260990499</v>
      </c>
      <c r="J14" s="21">
        <v>-5619.8553585584996</v>
      </c>
      <c r="K14" s="21">
        <v>-397365.33035775903</v>
      </c>
      <c r="L14" s="21">
        <v>10753.1715664071</v>
      </c>
      <c r="M14" s="21">
        <v>274566.07043213601</v>
      </c>
      <c r="N14" s="21">
        <v>-46.000240287641098</v>
      </c>
      <c r="O14" s="21">
        <v>-284.68463339836097</v>
      </c>
      <c r="P14" s="21">
        <v>-1076.3295420345801</v>
      </c>
      <c r="Q14" s="21">
        <v>-5659.8054222925402</v>
      </c>
      <c r="R14" s="21">
        <v>14317.960008071301</v>
      </c>
      <c r="S14" s="21">
        <v>-9203.3213254470302</v>
      </c>
      <c r="T14" s="21">
        <v>9334.5282644452509</v>
      </c>
      <c r="U14" s="21">
        <v>-32231.267167550399</v>
      </c>
      <c r="V14" s="21">
        <v>5343.2915793243301</v>
      </c>
      <c r="W14" s="21">
        <v>-1366.64098004837</v>
      </c>
      <c r="X14" s="21">
        <v>-3245.4190928572398</v>
      </c>
      <c r="Y14" s="21">
        <v>173.20557733857899</v>
      </c>
      <c r="Z14" s="21">
        <v>17425.843737932399</v>
      </c>
      <c r="AA14" s="21">
        <v>16943.3907050493</v>
      </c>
      <c r="AB14" s="21">
        <v>2661.5910978955699</v>
      </c>
      <c r="AC14" s="21">
        <v>9281.1505314573205</v>
      </c>
      <c r="AD14" s="21">
        <v>8178.4449937671397</v>
      </c>
      <c r="AE14" s="21">
        <v>20349.836387745501</v>
      </c>
    </row>
    <row r="15" spans="1:31" x14ac:dyDescent="0.2">
      <c r="A15" s="3">
        <v>14</v>
      </c>
      <c r="B15" s="7" t="s">
        <v>130</v>
      </c>
      <c r="C15" s="8" t="s">
        <v>132</v>
      </c>
      <c r="D15" s="7" t="s">
        <v>153</v>
      </c>
      <c r="E15" s="7" t="s">
        <v>132</v>
      </c>
      <c r="F15" s="7" t="s">
        <v>73</v>
      </c>
      <c r="G15" s="7" t="s">
        <v>118</v>
      </c>
      <c r="H15" s="22">
        <v>8654191.6055547409</v>
      </c>
      <c r="I15" s="22">
        <v>5364353.5388412103</v>
      </c>
      <c r="J15" s="22">
        <v>7052822.4974188199</v>
      </c>
      <c r="K15" s="22">
        <v>6989987.4919976601</v>
      </c>
      <c r="L15" s="22">
        <v>2005980.4304650701</v>
      </c>
      <c r="M15" s="22">
        <v>37723839.473568603</v>
      </c>
      <c r="N15" s="22">
        <v>6492.8534211835304</v>
      </c>
      <c r="O15" s="22">
        <v>24293.7919520369</v>
      </c>
      <c r="P15" s="22">
        <v>79089.468665182299</v>
      </c>
      <c r="Q15" s="22">
        <v>310495.32922383799</v>
      </c>
      <c r="R15" s="22">
        <v>8055781.4949588096</v>
      </c>
      <c r="S15" s="22">
        <v>139559.126493207</v>
      </c>
      <c r="T15" s="22">
        <v>4991202.4584458899</v>
      </c>
      <c r="U15" s="22">
        <v>982463.93029894901</v>
      </c>
      <c r="V15" s="22">
        <v>2667748.03343534</v>
      </c>
      <c r="W15" s="22">
        <v>580381.52354384004</v>
      </c>
      <c r="X15" s="22">
        <v>247455.58556438901</v>
      </c>
      <c r="Y15" s="22">
        <v>95590.774217855505</v>
      </c>
      <c r="Z15" s="22">
        <v>9594849.1747793909</v>
      </c>
      <c r="AA15" s="22">
        <v>1134495.86536088</v>
      </c>
      <c r="AB15" s="22">
        <v>1388003.7431304599</v>
      </c>
      <c r="AC15" s="22">
        <v>4126383.3174126502</v>
      </c>
      <c r="AD15" s="22">
        <v>3618512.00789619</v>
      </c>
      <c r="AE15" s="22">
        <v>9046319.3391410001</v>
      </c>
    </row>
    <row r="16" spans="1:31" x14ac:dyDescent="0.2">
      <c r="A16" s="3">
        <v>15</v>
      </c>
      <c r="B16" s="4" t="s">
        <v>13</v>
      </c>
      <c r="C16" s="5" t="s">
        <v>132</v>
      </c>
      <c r="D16" s="4" t="s">
        <v>54</v>
      </c>
      <c r="E16" s="4" t="s">
        <v>132</v>
      </c>
      <c r="F16" s="4" t="s">
        <v>103</v>
      </c>
      <c r="G16" s="4" t="s">
        <v>118</v>
      </c>
      <c r="H16" s="21">
        <v>31297.3977318578</v>
      </c>
      <c r="I16" s="21">
        <v>16621.196376191801</v>
      </c>
      <c r="J16" s="21">
        <v>21266.459355370302</v>
      </c>
      <c r="K16" s="21">
        <v>-1248335.1519645001</v>
      </c>
      <c r="L16" s="21">
        <v>9467.7854539907603</v>
      </c>
      <c r="M16" s="21">
        <v>338257.26826758502</v>
      </c>
      <c r="N16" s="21">
        <v>29.333574508179598</v>
      </c>
      <c r="O16" s="21">
        <v>-12.667580496107201</v>
      </c>
      <c r="P16" s="21">
        <v>193.40117297722</v>
      </c>
      <c r="Q16" s="21">
        <v>-1997.47460224</v>
      </c>
      <c r="R16" s="21">
        <v>26778.974750058998</v>
      </c>
      <c r="S16" s="21">
        <v>-8677.5368753454095</v>
      </c>
      <c r="T16" s="21">
        <v>20966.465242299</v>
      </c>
      <c r="U16" s="21">
        <v>7322.7978783997696</v>
      </c>
      <c r="V16" s="21">
        <v>9855.3686966995392</v>
      </c>
      <c r="W16" s="21">
        <v>184.182657296228</v>
      </c>
      <c r="X16" s="21">
        <v>-7050.33160079753</v>
      </c>
      <c r="Y16" s="21">
        <v>461.89185638744698</v>
      </c>
      <c r="Z16" s="21">
        <v>30449.0628134119</v>
      </c>
      <c r="AA16" s="21">
        <v>14412.8740178808</v>
      </c>
      <c r="AB16" s="21">
        <v>5156.30719268335</v>
      </c>
      <c r="AC16" s="21">
        <v>15713.1198119726</v>
      </c>
      <c r="AD16" s="21">
        <v>12777.3144832977</v>
      </c>
      <c r="AE16" s="21">
        <v>34358.984110187397</v>
      </c>
    </row>
    <row r="17" spans="1:31" x14ac:dyDescent="0.2">
      <c r="A17" s="3">
        <v>16</v>
      </c>
      <c r="B17" s="7" t="s">
        <v>47</v>
      </c>
      <c r="C17" s="8" t="s">
        <v>132</v>
      </c>
      <c r="D17" s="7" t="s">
        <v>131</v>
      </c>
      <c r="E17" s="7" t="s">
        <v>132</v>
      </c>
      <c r="F17" s="7" t="s">
        <v>8</v>
      </c>
      <c r="G17" s="7" t="s">
        <v>118</v>
      </c>
      <c r="H17" s="22">
        <v>209649.12501950399</v>
      </c>
      <c r="I17" s="22">
        <v>65956.648804296507</v>
      </c>
      <c r="J17" s="22">
        <v>136429.93477250799</v>
      </c>
      <c r="K17" s="22">
        <v>-283263.88146688201</v>
      </c>
      <c r="L17" s="22">
        <v>24355.527448854999</v>
      </c>
      <c r="M17" s="22">
        <v>616727.05789496202</v>
      </c>
      <c r="N17" s="22">
        <v>90.000910987208599</v>
      </c>
      <c r="O17" s="22">
        <v>320.69365100035702</v>
      </c>
      <c r="P17" s="22">
        <v>1060.4041167088301</v>
      </c>
      <c r="Q17" s="22">
        <v>3760.8495932123201</v>
      </c>
      <c r="R17" s="22">
        <v>95458.982947184195</v>
      </c>
      <c r="S17" s="22">
        <v>-5653.3456637422596</v>
      </c>
      <c r="T17" s="22">
        <v>57190.386121067997</v>
      </c>
      <c r="U17" s="22">
        <v>9443.9023900014199</v>
      </c>
      <c r="V17" s="22">
        <v>31360.828195741698</v>
      </c>
      <c r="W17" s="22">
        <v>14004.837134739701</v>
      </c>
      <c r="X17" s="22">
        <v>-5012.7185532372796</v>
      </c>
      <c r="Y17" s="22">
        <v>1157.3332375211401</v>
      </c>
      <c r="Z17" s="22">
        <v>110951.927509163</v>
      </c>
      <c r="AA17" s="22">
        <v>17110.202934369001</v>
      </c>
      <c r="AB17" s="22">
        <v>16939.419389218801</v>
      </c>
      <c r="AC17" s="22">
        <v>51024.455548706901</v>
      </c>
      <c r="AD17" s="22">
        <v>45175.814284063999</v>
      </c>
      <c r="AE17" s="22">
        <v>110129.79251790199</v>
      </c>
    </row>
    <row r="18" spans="1:31" x14ac:dyDescent="0.2">
      <c r="A18" s="3">
        <v>17</v>
      </c>
      <c r="B18" s="4" t="s">
        <v>76</v>
      </c>
      <c r="C18" s="5" t="s">
        <v>132</v>
      </c>
      <c r="D18" s="4" t="s">
        <v>120</v>
      </c>
      <c r="E18" s="4" t="s">
        <v>132</v>
      </c>
      <c r="F18" s="4" t="s">
        <v>12</v>
      </c>
      <c r="G18" s="4" t="s">
        <v>118</v>
      </c>
      <c r="H18" s="21">
        <v>7967.5880640804398</v>
      </c>
      <c r="I18" s="21">
        <v>-110.720537296126</v>
      </c>
      <c r="J18" s="21">
        <v>-4441.2076741623396</v>
      </c>
      <c r="K18" s="21">
        <v>-779025.80923418503</v>
      </c>
      <c r="L18" s="21">
        <v>1488.10198544951</v>
      </c>
      <c r="M18" s="21">
        <v>248303.46301863901</v>
      </c>
      <c r="N18" s="21">
        <v>-20.666792340578699</v>
      </c>
      <c r="O18" s="21">
        <v>-171.34474301937999</v>
      </c>
      <c r="P18" s="21">
        <v>-541.50966726246395</v>
      </c>
      <c r="Q18" s="21">
        <v>-3536.3810344820099</v>
      </c>
      <c r="R18" s="21">
        <v>237.39235374408599</v>
      </c>
      <c r="S18" s="21">
        <v>-11263.5808434021</v>
      </c>
      <c r="T18" s="21">
        <v>215.35203748535599</v>
      </c>
      <c r="U18" s="21">
        <v>1861.12959698031</v>
      </c>
      <c r="V18" s="21">
        <v>332.688182319075</v>
      </c>
      <c r="W18" s="21">
        <v>-2131.3023314229399</v>
      </c>
      <c r="X18" s="21">
        <v>-10686.9954415189</v>
      </c>
      <c r="Y18" s="21">
        <v>22.572941604780301</v>
      </c>
      <c r="Z18" s="21">
        <v>614.69604867515602</v>
      </c>
      <c r="AA18" s="21">
        <v>3157.9335372385499</v>
      </c>
      <c r="AB18" s="21">
        <v>84.000456215391907</v>
      </c>
      <c r="AC18" s="21">
        <v>504.681796053575</v>
      </c>
      <c r="AD18" s="21">
        <v>404.01008973066303</v>
      </c>
      <c r="AE18" s="21">
        <v>1034.06641809794</v>
      </c>
    </row>
    <row r="19" spans="1:31" x14ac:dyDescent="0.2">
      <c r="A19" s="3">
        <v>18</v>
      </c>
      <c r="B19" s="7" t="s">
        <v>69</v>
      </c>
      <c r="C19" s="8" t="s">
        <v>132</v>
      </c>
      <c r="D19" s="7" t="s">
        <v>102</v>
      </c>
      <c r="E19" s="7" t="s">
        <v>132</v>
      </c>
      <c r="F19" s="7" t="s">
        <v>93</v>
      </c>
      <c r="G19" s="7" t="s">
        <v>118</v>
      </c>
      <c r="H19" s="22">
        <v>121992.965625905</v>
      </c>
      <c r="I19" s="22">
        <v>4970.8242829873798</v>
      </c>
      <c r="J19" s="22">
        <v>61258.866325388299</v>
      </c>
      <c r="K19" s="22">
        <v>-223427.51995702001</v>
      </c>
      <c r="L19" s="22">
        <v>824.10457014849703</v>
      </c>
      <c r="M19" s="22">
        <v>258284.86916784901</v>
      </c>
      <c r="N19" s="22">
        <v>6387.4715810713597</v>
      </c>
      <c r="O19" s="22">
        <v>36701.779314681698</v>
      </c>
      <c r="P19" s="22">
        <v>110383.26937385301</v>
      </c>
      <c r="Q19" s="22">
        <v>618210.40846138995</v>
      </c>
      <c r="R19" s="22">
        <v>-36.676298175268698</v>
      </c>
      <c r="S19" s="22">
        <v>-8151.58757601462</v>
      </c>
      <c r="T19" s="22">
        <v>-98.674376266954098</v>
      </c>
      <c r="U19" s="22">
        <v>-1162.82336116997</v>
      </c>
      <c r="V19" s="22">
        <v>129.340668153736</v>
      </c>
      <c r="W19" s="22">
        <v>6021.9800124291596</v>
      </c>
      <c r="X19" s="22">
        <v>-11147.454594451199</v>
      </c>
      <c r="Y19" s="22">
        <v>-3.4116424889441301</v>
      </c>
      <c r="Z19" s="22">
        <v>448.01850486951798</v>
      </c>
      <c r="AA19" s="22">
        <v>1863.4765960205</v>
      </c>
      <c r="AB19" s="22">
        <v>14.0000410200925</v>
      </c>
      <c r="AC19" s="22">
        <v>125.335428693631</v>
      </c>
      <c r="AD19" s="22">
        <v>95.334662087639202</v>
      </c>
      <c r="AE19" s="22">
        <v>192.00664578822199</v>
      </c>
    </row>
    <row r="20" spans="1:31" x14ac:dyDescent="0.2">
      <c r="A20" s="3">
        <v>19</v>
      </c>
      <c r="B20" s="4" t="s">
        <v>55</v>
      </c>
      <c r="C20" s="5" t="s">
        <v>132</v>
      </c>
      <c r="D20" s="4" t="s">
        <v>156</v>
      </c>
      <c r="E20" s="4" t="s">
        <v>132</v>
      </c>
      <c r="F20" s="4" t="s">
        <v>106</v>
      </c>
      <c r="G20" s="4" t="s">
        <v>118</v>
      </c>
      <c r="H20" s="21">
        <v>9232333.0700763892</v>
      </c>
      <c r="I20" s="21">
        <v>5075189.8318916298</v>
      </c>
      <c r="J20" s="21">
        <v>6257089.9681119602</v>
      </c>
      <c r="K20" s="21">
        <v>14528153.263634101</v>
      </c>
      <c r="L20" s="21">
        <v>2098398.8231253601</v>
      </c>
      <c r="M20" s="21">
        <v>39056178.834904201</v>
      </c>
      <c r="N20" s="21">
        <v>6340.1171636495801</v>
      </c>
      <c r="O20" s="21">
        <v>23187.852305598</v>
      </c>
      <c r="P20" s="21">
        <v>78320.381097670703</v>
      </c>
      <c r="Q20" s="21">
        <v>331137.20104375901</v>
      </c>
      <c r="R20" s="21">
        <v>7381774.62833622</v>
      </c>
      <c r="S20" s="21">
        <v>110068.528777781</v>
      </c>
      <c r="T20" s="21">
        <v>4638953.90109496</v>
      </c>
      <c r="U20" s="21">
        <v>1026219.77384814</v>
      </c>
      <c r="V20" s="21">
        <v>2808514.8672458702</v>
      </c>
      <c r="W20" s="21">
        <v>565953.47724398505</v>
      </c>
      <c r="X20" s="21">
        <v>203309.68035133701</v>
      </c>
      <c r="Y20" s="21">
        <v>91322.975164205796</v>
      </c>
      <c r="Z20" s="21">
        <v>9976559.1468340401</v>
      </c>
      <c r="AA20" s="21">
        <v>984441.18404036702</v>
      </c>
      <c r="AB20" s="21">
        <v>1409494.51440617</v>
      </c>
      <c r="AC20" s="21">
        <v>4203872.5539581301</v>
      </c>
      <c r="AD20" s="21">
        <v>3480755.879708</v>
      </c>
      <c r="AE20" s="21">
        <v>8089564.8904512003</v>
      </c>
    </row>
    <row r="21" spans="1:31" x14ac:dyDescent="0.2">
      <c r="A21" s="3">
        <v>20</v>
      </c>
      <c r="B21" s="7" t="s">
        <v>142</v>
      </c>
      <c r="C21" s="8" t="s">
        <v>132</v>
      </c>
      <c r="D21" s="7" t="s">
        <v>74</v>
      </c>
      <c r="E21" s="7" t="s">
        <v>132</v>
      </c>
      <c r="F21" s="7" t="s">
        <v>20</v>
      </c>
      <c r="G21" s="7" t="s">
        <v>118</v>
      </c>
      <c r="H21" s="22">
        <v>34151.332174732401</v>
      </c>
      <c r="I21" s="22">
        <v>14791.038093409999</v>
      </c>
      <c r="J21" s="22">
        <v>15905.3167889328</v>
      </c>
      <c r="K21" s="22">
        <v>-527184.16453002498</v>
      </c>
      <c r="L21" s="22">
        <v>8510.9267087154294</v>
      </c>
      <c r="M21" s="22">
        <v>340781.22464381799</v>
      </c>
      <c r="N21" s="22">
        <v>30.666909988130001</v>
      </c>
      <c r="O21" s="22">
        <v>-71.338372060568801</v>
      </c>
      <c r="P21" s="22">
        <v>29.343178649870701</v>
      </c>
      <c r="Q21" s="22">
        <v>-3230.63258272553</v>
      </c>
      <c r="R21" s="22">
        <v>24127.928589248299</v>
      </c>
      <c r="S21" s="22">
        <v>-10830.7512393417</v>
      </c>
      <c r="T21" s="22">
        <v>17542.251660742098</v>
      </c>
      <c r="U21" s="22">
        <v>5960.8091755912601</v>
      </c>
      <c r="V21" s="22">
        <v>8990.02885766894</v>
      </c>
      <c r="W21" s="22">
        <v>-312.965781296996</v>
      </c>
      <c r="X21" s="22">
        <v>-9192.9982644739102</v>
      </c>
      <c r="Y21" s="22">
        <v>371.97164597908699</v>
      </c>
      <c r="Z21" s="22">
        <v>28369.826384911499</v>
      </c>
      <c r="AA21" s="22">
        <v>12310.301294717299</v>
      </c>
      <c r="AB21" s="22">
        <v>4796.8308333638197</v>
      </c>
      <c r="AC21" s="22">
        <v>14438.952511891801</v>
      </c>
      <c r="AD21" s="22">
        <v>11680.3192969294</v>
      </c>
      <c r="AE21" s="22">
        <v>29453.539730174802</v>
      </c>
    </row>
    <row r="22" spans="1:31" x14ac:dyDescent="0.2">
      <c r="A22" s="3">
        <v>21</v>
      </c>
      <c r="B22" s="4" t="s">
        <v>119</v>
      </c>
      <c r="C22" s="5" t="s">
        <v>132</v>
      </c>
      <c r="D22" s="4" t="s">
        <v>98</v>
      </c>
      <c r="E22" s="4" t="s">
        <v>132</v>
      </c>
      <c r="F22" s="4" t="s">
        <v>160</v>
      </c>
      <c r="G22" s="4" t="s">
        <v>118</v>
      </c>
      <c r="H22" s="21">
        <v>6727446.6718961401</v>
      </c>
      <c r="I22" s="21">
        <v>1013782.7473199</v>
      </c>
      <c r="J22" s="21">
        <v>408800.29064830102</v>
      </c>
      <c r="K22" s="21">
        <v>33060818.046605501</v>
      </c>
      <c r="L22" s="21">
        <v>5761.7139649814198</v>
      </c>
      <c r="M22" s="21">
        <v>12743529.7796544</v>
      </c>
      <c r="N22" s="21">
        <v>6684.2761871160601</v>
      </c>
      <c r="O22" s="21">
        <v>39874.596353618101</v>
      </c>
      <c r="P22" s="21">
        <v>116964.39392297</v>
      </c>
      <c r="Q22" s="21">
        <v>658302.43072190206</v>
      </c>
      <c r="R22" s="21">
        <v>5762.5230806406298</v>
      </c>
      <c r="S22" s="21">
        <v>-11340.263325219999</v>
      </c>
      <c r="T22" s="21">
        <v>54.004859681671199</v>
      </c>
      <c r="U22" s="21">
        <v>-34090.7951203634</v>
      </c>
      <c r="V22" s="21">
        <v>3027.1495435819002</v>
      </c>
      <c r="W22" s="21">
        <v>-2246.7418979220001</v>
      </c>
      <c r="X22" s="21">
        <v>-13542.3435703778</v>
      </c>
      <c r="Y22" s="21">
        <v>32.4269419315943</v>
      </c>
      <c r="Z22" s="21">
        <v>43065.491423927997</v>
      </c>
      <c r="AA22" s="21">
        <v>4162.5425028107302</v>
      </c>
      <c r="AB22" s="21">
        <v>358.005399455717</v>
      </c>
      <c r="AC22" s="21">
        <v>1463.4264697900101</v>
      </c>
      <c r="AD22" s="21">
        <v>1286.07175006341</v>
      </c>
      <c r="AE22" s="21">
        <v>3133.0985366282498</v>
      </c>
    </row>
    <row r="23" spans="1:31" x14ac:dyDescent="0.2">
      <c r="A23" s="3">
        <v>22</v>
      </c>
      <c r="B23" s="7" t="s">
        <v>101</v>
      </c>
      <c r="C23" s="8" t="s">
        <v>132</v>
      </c>
      <c r="D23" s="7" t="s">
        <v>152</v>
      </c>
      <c r="E23" s="7" t="s">
        <v>132</v>
      </c>
      <c r="F23" s="7" t="s">
        <v>158</v>
      </c>
      <c r="G23" s="7" t="s">
        <v>118</v>
      </c>
      <c r="H23" s="22">
        <v>593618725.01528597</v>
      </c>
      <c r="I23" s="22">
        <v>804141567.62880099</v>
      </c>
      <c r="J23" s="22">
        <v>223722.32771907601</v>
      </c>
      <c r="K23" s="22">
        <v>130291101.491813</v>
      </c>
      <c r="L23" s="22">
        <v>20709.148176902399</v>
      </c>
      <c r="M23" s="22">
        <v>66060997.686772101</v>
      </c>
      <c r="N23" s="22">
        <v>1239567.6002628601</v>
      </c>
      <c r="O23" s="22">
        <v>7561931.7756209299</v>
      </c>
      <c r="P23" s="22">
        <v>22980533.5270717</v>
      </c>
      <c r="Q23" s="22">
        <v>118247820.11839899</v>
      </c>
      <c r="R23" s="22">
        <v>50257.691906016204</v>
      </c>
      <c r="S23" s="22">
        <v>179686.07469332701</v>
      </c>
      <c r="T23" s="22">
        <v>2567.1048581822201</v>
      </c>
      <c r="U23" s="22">
        <v>-23047.418984042699</v>
      </c>
      <c r="V23" s="22">
        <v>11375.8053179078</v>
      </c>
      <c r="W23" s="22">
        <v>3377.12649030585</v>
      </c>
      <c r="X23" s="22">
        <v>-15484.7734256694</v>
      </c>
      <c r="Y23" s="22">
        <v>114.334437939918</v>
      </c>
      <c r="Z23" s="22">
        <v>6522142.59200582</v>
      </c>
      <c r="AA23" s="22">
        <v>3326.32810185684</v>
      </c>
      <c r="AB23" s="22">
        <v>118.00079095789501</v>
      </c>
      <c r="AC23" s="22">
        <v>1882.14712701295</v>
      </c>
      <c r="AD23" s="22">
        <v>1711.4543876827599</v>
      </c>
      <c r="AE23" s="22">
        <v>4346.1161542781401</v>
      </c>
    </row>
    <row r="24" spans="1:31" x14ac:dyDescent="0.2">
      <c r="A24" s="3">
        <v>23</v>
      </c>
      <c r="B24" s="4" t="s">
        <v>16</v>
      </c>
      <c r="C24" s="5" t="s">
        <v>132</v>
      </c>
      <c r="D24" s="4" t="s">
        <v>24</v>
      </c>
      <c r="E24" s="4" t="s">
        <v>132</v>
      </c>
      <c r="F24" s="4" t="s">
        <v>30</v>
      </c>
      <c r="G24" s="4" t="s">
        <v>118</v>
      </c>
      <c r="H24" s="21">
        <v>1569364.57885743</v>
      </c>
      <c r="I24" s="21">
        <v>2279105.8045981899</v>
      </c>
      <c r="J24" s="21">
        <v>-20336.333703565899</v>
      </c>
      <c r="K24" s="21">
        <v>312837.38272002997</v>
      </c>
      <c r="L24" s="21">
        <v>9075.7980068259094</v>
      </c>
      <c r="M24" s="21">
        <v>442695.21784094098</v>
      </c>
      <c r="N24" s="21">
        <v>5862.6037679917799</v>
      </c>
      <c r="O24" s="21">
        <v>21029.2043341393</v>
      </c>
      <c r="P24" s="21">
        <v>100617.90252857099</v>
      </c>
      <c r="Q24" s="21">
        <v>360459.62079636502</v>
      </c>
      <c r="R24" s="21">
        <v>-2077.0069586053401</v>
      </c>
      <c r="S24" s="21">
        <v>-9292.2716626375295</v>
      </c>
      <c r="T24" s="21">
        <v>-982.04477845447298</v>
      </c>
      <c r="U24" s="21">
        <v>-34436.803924444997</v>
      </c>
      <c r="V24" s="21">
        <v>-161.34114561976699</v>
      </c>
      <c r="W24" s="21">
        <v>-3753.2613383603998</v>
      </c>
      <c r="X24" s="21">
        <v>-11822.7229264864</v>
      </c>
      <c r="Y24" s="21">
        <v>17.302184887501301</v>
      </c>
      <c r="Z24" s="21">
        <v>24368.428561449899</v>
      </c>
      <c r="AA24" s="21">
        <v>1620.74766131658</v>
      </c>
      <c r="AB24" s="21">
        <v>-6.6666797333533596</v>
      </c>
      <c r="AC24" s="21">
        <v>331.34124530633198</v>
      </c>
      <c r="AD24" s="21">
        <v>246.67143392735599</v>
      </c>
      <c r="AE24" s="21">
        <v>554.69294845402896</v>
      </c>
    </row>
    <row r="25" spans="1:31" x14ac:dyDescent="0.2">
      <c r="A25" s="3">
        <v>24</v>
      </c>
      <c r="B25" s="7" t="s">
        <v>150</v>
      </c>
      <c r="C25" s="8" t="s">
        <v>132</v>
      </c>
      <c r="D25" s="7" t="s">
        <v>84</v>
      </c>
      <c r="E25" s="7" t="s">
        <v>132</v>
      </c>
      <c r="F25" s="7" t="s">
        <v>133</v>
      </c>
      <c r="G25" s="7" t="s">
        <v>118</v>
      </c>
      <c r="H25" s="22">
        <v>567578246.41569805</v>
      </c>
      <c r="I25" s="22">
        <v>726949344.973194</v>
      </c>
      <c r="J25" s="22">
        <v>322830.33552385698</v>
      </c>
      <c r="K25" s="22">
        <v>100654574.02504</v>
      </c>
      <c r="L25" s="22">
        <v>148383.537022959</v>
      </c>
      <c r="M25" s="22">
        <v>244373743.70744899</v>
      </c>
      <c r="N25" s="22">
        <v>967392.49912057898</v>
      </c>
      <c r="O25" s="22">
        <v>5432644.2343459502</v>
      </c>
      <c r="P25" s="22">
        <v>17032609.8012642</v>
      </c>
      <c r="Q25" s="22">
        <v>91558315.028956994</v>
      </c>
      <c r="R25" s="22">
        <v>231576.429279976</v>
      </c>
      <c r="S25" s="22">
        <v>173822.04786712499</v>
      </c>
      <c r="T25" s="22">
        <v>2780.49280540774</v>
      </c>
      <c r="U25" s="22">
        <v>-24667.989493843801</v>
      </c>
      <c r="V25" s="22">
        <v>18065.064993832901</v>
      </c>
      <c r="W25" s="22">
        <v>2060.2264859624902</v>
      </c>
      <c r="X25" s="22">
        <v>-20230.062017598299</v>
      </c>
      <c r="Y25" s="22">
        <v>123.02209329191101</v>
      </c>
      <c r="Z25" s="22">
        <v>10898369.3696582</v>
      </c>
      <c r="AA25" s="22">
        <v>1777.03488646508</v>
      </c>
      <c r="AB25" s="22">
        <v>60.0002781343875</v>
      </c>
      <c r="AC25" s="22">
        <v>1217.4002304221401</v>
      </c>
      <c r="AD25" s="22">
        <v>1026.7147312535501</v>
      </c>
      <c r="AE25" s="22">
        <v>2458.94793895771</v>
      </c>
    </row>
    <row r="26" spans="1:31" x14ac:dyDescent="0.2">
      <c r="A26" s="3">
        <v>25</v>
      </c>
      <c r="B26" s="4" t="s">
        <v>16</v>
      </c>
      <c r="C26" s="5" t="s">
        <v>132</v>
      </c>
      <c r="D26" s="4" t="s">
        <v>100</v>
      </c>
      <c r="E26" s="4" t="s">
        <v>132</v>
      </c>
      <c r="F26" s="4" t="s">
        <v>43</v>
      </c>
      <c r="G26" s="4" t="s">
        <v>118</v>
      </c>
      <c r="H26" s="21">
        <v>1769595.3356468501</v>
      </c>
      <c r="I26" s="21">
        <v>2309817.0790255</v>
      </c>
      <c r="J26" s="21">
        <v>-19876.028815416201</v>
      </c>
      <c r="K26" s="21">
        <v>-144445.77884801201</v>
      </c>
      <c r="L26" s="21">
        <v>7735.7949037725202</v>
      </c>
      <c r="M26" s="21">
        <v>920483.52513702598</v>
      </c>
      <c r="N26" s="21">
        <v>3881.2230995270202</v>
      </c>
      <c r="O26" s="21">
        <v>18805.160207635799</v>
      </c>
      <c r="P26" s="21">
        <v>68088.333449192898</v>
      </c>
      <c r="Q26" s="21">
        <v>330202.19067884801</v>
      </c>
      <c r="R26" s="21">
        <v>-1370.25773821392</v>
      </c>
      <c r="S26" s="21">
        <v>-14339.807383141901</v>
      </c>
      <c r="T26" s="21">
        <v>-950.04440754455595</v>
      </c>
      <c r="U26" s="21">
        <v>-34470.804384069801</v>
      </c>
      <c r="V26" s="21">
        <v>-166.674722468059</v>
      </c>
      <c r="W26" s="21">
        <v>-3964.7436099657002</v>
      </c>
      <c r="X26" s="21">
        <v>-15541.1730159994</v>
      </c>
      <c r="Y26" s="21">
        <v>16.6302929697612</v>
      </c>
      <c r="Z26" s="21">
        <v>41068.223483446003</v>
      </c>
      <c r="AA26" s="21">
        <v>979.86976339177897</v>
      </c>
      <c r="AB26" s="21">
        <v>-10.666690373374101</v>
      </c>
      <c r="AC26" s="21">
        <v>255.338772939086</v>
      </c>
      <c r="AD26" s="21">
        <v>203.33695159113901</v>
      </c>
      <c r="AE26" s="21">
        <v>484.02175742311698</v>
      </c>
    </row>
    <row r="27" spans="1:31" x14ac:dyDescent="0.2">
      <c r="A27" s="3">
        <v>26</v>
      </c>
      <c r="B27" s="7" t="s">
        <v>137</v>
      </c>
      <c r="C27" s="8" t="s">
        <v>132</v>
      </c>
      <c r="D27" s="7" t="s">
        <v>122</v>
      </c>
      <c r="E27" s="7" t="s">
        <v>132</v>
      </c>
      <c r="F27" s="7" t="s">
        <v>49</v>
      </c>
      <c r="G27" s="7" t="s">
        <v>118</v>
      </c>
      <c r="H27" s="12" t="s">
        <v>25</v>
      </c>
      <c r="I27" s="22">
        <v>578776520.97909904</v>
      </c>
      <c r="J27" s="22">
        <v>2963306.8595634201</v>
      </c>
      <c r="K27" s="22">
        <v>55339328.050074801</v>
      </c>
      <c r="L27" s="22">
        <v>7616656.9072046196</v>
      </c>
      <c r="M27" s="22">
        <v>1003154753.77184</v>
      </c>
      <c r="N27" s="22">
        <v>1472573.74410658</v>
      </c>
      <c r="O27" s="22">
        <v>8928212.6834409293</v>
      </c>
      <c r="P27" s="22">
        <v>25177628.495437998</v>
      </c>
      <c r="Q27" s="22">
        <v>151606614.391242</v>
      </c>
      <c r="R27" s="22">
        <v>25866429.348966599</v>
      </c>
      <c r="S27" s="22">
        <v>2713044.8427267298</v>
      </c>
      <c r="T27" s="22">
        <v>21503.220888554901</v>
      </c>
      <c r="U27" s="22">
        <v>-13887.6507240797</v>
      </c>
      <c r="V27" s="22">
        <v>22900.2472528695</v>
      </c>
      <c r="W27" s="22">
        <v>19156.064134440101</v>
      </c>
      <c r="X27" s="22">
        <v>-20015.632586209798</v>
      </c>
      <c r="Y27" s="22">
        <v>474.10685056932499</v>
      </c>
      <c r="Z27" s="22">
        <v>27370642.9945696</v>
      </c>
      <c r="AA27" s="22">
        <v>1698.86569441439</v>
      </c>
      <c r="AB27" s="22">
        <v>149.33449198118799</v>
      </c>
      <c r="AC27" s="22">
        <v>2801.6435507409201</v>
      </c>
      <c r="AD27" s="22">
        <v>2330.8822575446102</v>
      </c>
      <c r="AE27" s="22">
        <v>5497.2114485960701</v>
      </c>
    </row>
    <row r="28" spans="1:31" x14ac:dyDescent="0.2">
      <c r="A28" s="3">
        <v>27</v>
      </c>
      <c r="B28" s="4" t="s">
        <v>7</v>
      </c>
      <c r="C28" s="5" t="s">
        <v>132</v>
      </c>
      <c r="D28" s="4" t="s">
        <v>110</v>
      </c>
      <c r="E28" s="4" t="s">
        <v>132</v>
      </c>
      <c r="F28" s="4" t="s">
        <v>91</v>
      </c>
      <c r="G28" s="4" t="s">
        <v>118</v>
      </c>
      <c r="H28" s="21">
        <v>9370635.7163173705</v>
      </c>
      <c r="I28" s="21">
        <v>2535243.5080541698</v>
      </c>
      <c r="J28" s="21">
        <v>982449.20802037895</v>
      </c>
      <c r="K28" s="21">
        <v>6604291.1295003304</v>
      </c>
      <c r="L28" s="21">
        <v>36877.650739096702</v>
      </c>
      <c r="M28" s="21">
        <v>552653948.44176197</v>
      </c>
      <c r="N28" s="21">
        <v>10140.4135422652</v>
      </c>
      <c r="O28" s="21">
        <v>38544.249269347602</v>
      </c>
      <c r="P28" s="21">
        <v>175612.380539929</v>
      </c>
      <c r="Q28" s="21">
        <v>668769.05084116897</v>
      </c>
      <c r="R28" s="21">
        <v>192309.37763808199</v>
      </c>
      <c r="S28" s="21">
        <v>-4412.116508475</v>
      </c>
      <c r="T28" s="21">
        <v>-741.37341233394704</v>
      </c>
      <c r="U28" s="21">
        <v>-34195.465352968196</v>
      </c>
      <c r="V28" s="21">
        <v>2587.0410513163902</v>
      </c>
      <c r="W28" s="21">
        <v>1867.9841482715401</v>
      </c>
      <c r="X28" s="21">
        <v>-21209.9422279094</v>
      </c>
      <c r="Y28" s="21">
        <v>19.958438699213101</v>
      </c>
      <c r="Z28" s="21">
        <v>109961.361949164</v>
      </c>
      <c r="AA28" s="21">
        <v>681.15299228244101</v>
      </c>
      <c r="AB28" s="21">
        <v>102.66729349657101</v>
      </c>
      <c r="AC28" s="21">
        <v>588.01938391703095</v>
      </c>
      <c r="AD28" s="21">
        <v>530.015529794396</v>
      </c>
      <c r="AE28" s="21">
        <v>1344.10099097067</v>
      </c>
    </row>
    <row r="29" spans="1:31" x14ac:dyDescent="0.2">
      <c r="A29" s="3">
        <v>28</v>
      </c>
      <c r="B29" s="7" t="s">
        <v>7</v>
      </c>
      <c r="C29" s="8" t="s">
        <v>132</v>
      </c>
      <c r="D29" s="7" t="s">
        <v>34</v>
      </c>
      <c r="E29" s="7" t="s">
        <v>132</v>
      </c>
      <c r="F29" s="7" t="s">
        <v>9</v>
      </c>
      <c r="G29" s="7" t="s">
        <v>118</v>
      </c>
      <c r="H29" s="22">
        <v>4073467.0922085401</v>
      </c>
      <c r="I29" s="22">
        <v>345892.98691318702</v>
      </c>
      <c r="J29" s="22">
        <v>888140.90793247998</v>
      </c>
      <c r="K29" s="22">
        <v>6146400.0786291501</v>
      </c>
      <c r="L29" s="22">
        <v>10091.416406308001</v>
      </c>
      <c r="M29" s="22">
        <v>604194322.22130096</v>
      </c>
      <c r="N29" s="22">
        <v>1348.7396029620099</v>
      </c>
      <c r="O29" s="22">
        <v>6317.1909610458597</v>
      </c>
      <c r="P29" s="22">
        <v>24908.963249303801</v>
      </c>
      <c r="Q29" s="22">
        <v>143916.405745033</v>
      </c>
      <c r="R29" s="22">
        <v>99303.366538156406</v>
      </c>
      <c r="S29" s="22">
        <v>-17962.314233914902</v>
      </c>
      <c r="T29" s="22">
        <v>-832.70902029030196</v>
      </c>
      <c r="U29" s="22">
        <v>-34257.467075704299</v>
      </c>
      <c r="V29" s="22">
        <v>2873.1090894579202</v>
      </c>
      <c r="W29" s="22">
        <v>856.24552142796904</v>
      </c>
      <c r="X29" s="22">
        <v>-24771.811400211802</v>
      </c>
      <c r="Y29" s="22">
        <v>25.2396590490447</v>
      </c>
      <c r="Z29" s="22">
        <v>16174.966146537599</v>
      </c>
      <c r="AA29" s="22">
        <v>550.38241378173598</v>
      </c>
      <c r="AB29" s="22">
        <v>74.667058108383998</v>
      </c>
      <c r="AC29" s="22">
        <v>618.02095118513296</v>
      </c>
      <c r="AD29" s="22">
        <v>476.67983943618702</v>
      </c>
      <c r="AE29" s="22">
        <v>1128.7429190390701</v>
      </c>
    </row>
    <row r="30" spans="1:31" x14ac:dyDescent="0.2">
      <c r="A30" s="3">
        <v>29</v>
      </c>
      <c r="B30" s="4" t="s">
        <v>145</v>
      </c>
      <c r="C30" s="5" t="s">
        <v>132</v>
      </c>
      <c r="D30" s="4" t="s">
        <v>80</v>
      </c>
      <c r="E30" s="4" t="s">
        <v>132</v>
      </c>
      <c r="F30" s="4" t="s">
        <v>108</v>
      </c>
      <c r="G30" s="4" t="s">
        <v>118</v>
      </c>
      <c r="H30" s="21">
        <v>8153184.6815910405</v>
      </c>
      <c r="I30" s="21">
        <v>4550995.2852192996</v>
      </c>
      <c r="J30" s="21">
        <v>6173490.9062262801</v>
      </c>
      <c r="K30" s="21">
        <v>13706832.1460809</v>
      </c>
      <c r="L30" s="21">
        <v>2009648.8819118601</v>
      </c>
      <c r="M30" s="21">
        <v>35058245.396051697</v>
      </c>
      <c r="N30" s="21">
        <v>6472.8442941632902</v>
      </c>
      <c r="O30" s="21">
        <v>25085.170571914001</v>
      </c>
      <c r="P30" s="21">
        <v>80608.468253348998</v>
      </c>
      <c r="Q30" s="21">
        <v>334023.89440942899</v>
      </c>
      <c r="R30" s="21">
        <v>6065014.2878254997</v>
      </c>
      <c r="S30" s="21">
        <v>107504.513976064</v>
      </c>
      <c r="T30" s="21">
        <v>4646985.5478804102</v>
      </c>
      <c r="U30" s="21">
        <v>950726.66953258705</v>
      </c>
      <c r="V30" s="21">
        <v>2056311.3038939999</v>
      </c>
      <c r="W30" s="21">
        <v>474479.62296974199</v>
      </c>
      <c r="X30" s="21">
        <v>196906.99605202899</v>
      </c>
      <c r="Y30" s="21">
        <v>93918.017220227994</v>
      </c>
      <c r="Z30" s="21">
        <v>7836954.4781219801</v>
      </c>
      <c r="AA30" s="21">
        <v>988390.75054275198</v>
      </c>
      <c r="AB30" s="21">
        <v>1410508.21861827</v>
      </c>
      <c r="AC30" s="21">
        <v>3474086.4707029401</v>
      </c>
      <c r="AD30" s="21">
        <v>2947918.8439386799</v>
      </c>
      <c r="AE30" s="21">
        <v>7654646.8096509501</v>
      </c>
    </row>
    <row r="31" spans="1:31" x14ac:dyDescent="0.2">
      <c r="A31" s="3">
        <v>30</v>
      </c>
      <c r="B31" s="7" t="s">
        <v>71</v>
      </c>
      <c r="C31" s="8" t="s">
        <v>132</v>
      </c>
      <c r="D31" s="7" t="s">
        <v>115</v>
      </c>
      <c r="E31" s="7" t="s">
        <v>132</v>
      </c>
      <c r="F31" s="7" t="s">
        <v>68</v>
      </c>
      <c r="G31" s="7" t="s">
        <v>118</v>
      </c>
      <c r="H31" s="22">
        <v>32429.6195516146</v>
      </c>
      <c r="I31" s="22">
        <v>16864.902070305499</v>
      </c>
      <c r="J31" s="22">
        <v>19038.698613275799</v>
      </c>
      <c r="K31" s="22">
        <v>-1730052.9567590801</v>
      </c>
      <c r="L31" s="22">
        <v>7719.8297464249999</v>
      </c>
      <c r="M31" s="22">
        <v>287542.57148114202</v>
      </c>
      <c r="N31" s="22">
        <v>26.0002008078384</v>
      </c>
      <c r="O31" s="22">
        <v>-206.01356466658899</v>
      </c>
      <c r="P31" s="22">
        <v>126.71054641369</v>
      </c>
      <c r="Q31" s="22">
        <v>2108.8713767240502</v>
      </c>
      <c r="R31" s="22">
        <v>21851.290662849198</v>
      </c>
      <c r="S31" s="22">
        <v>-10569.065411138299</v>
      </c>
      <c r="T31" s="22">
        <v>16826.7011078834</v>
      </c>
      <c r="U31" s="22">
        <v>2354.6231320874599</v>
      </c>
      <c r="V31" s="22">
        <v>7721.8629466619104</v>
      </c>
      <c r="W31" s="22">
        <v>-1942.4794478497099</v>
      </c>
      <c r="X31" s="22">
        <v>-13037.17839585</v>
      </c>
      <c r="Y31" s="22">
        <v>417.462686850095</v>
      </c>
      <c r="Z31" s="22">
        <v>28410.5870472108</v>
      </c>
      <c r="AA31" s="22">
        <v>12586.1738884222</v>
      </c>
      <c r="AB31" s="22">
        <v>5181.6397452444298</v>
      </c>
      <c r="AC31" s="22">
        <v>14869.399807650199</v>
      </c>
      <c r="AD31" s="22">
        <v>12845.9638526483</v>
      </c>
      <c r="AE31" s="22">
        <v>33199.816820589702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E30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94</v>
      </c>
      <c r="I1" s="1" t="s">
        <v>31</v>
      </c>
      <c r="J1" s="1" t="s">
        <v>99</v>
      </c>
      <c r="K1" s="1" t="s">
        <v>59</v>
      </c>
      <c r="L1" s="1" t="s">
        <v>0</v>
      </c>
      <c r="M1" s="1" t="s">
        <v>35</v>
      </c>
      <c r="N1" s="2" t="s">
        <v>62</v>
      </c>
      <c r="O1" s="1" t="s">
        <v>159</v>
      </c>
      <c r="P1" s="2" t="s">
        <v>23</v>
      </c>
      <c r="Q1" s="1" t="s">
        <v>121</v>
      </c>
      <c r="R1" s="1" t="s">
        <v>114</v>
      </c>
      <c r="S1" s="1" t="s">
        <v>57</v>
      </c>
      <c r="T1" s="1" t="s">
        <v>11</v>
      </c>
      <c r="U1" s="1" t="s">
        <v>63</v>
      </c>
      <c r="V1" s="1" t="s">
        <v>151</v>
      </c>
      <c r="W1" s="1" t="s">
        <v>161</v>
      </c>
      <c r="X1" s="1" t="s">
        <v>50</v>
      </c>
      <c r="Y1" s="1" t="s">
        <v>139</v>
      </c>
      <c r="Z1" s="1" t="s">
        <v>127</v>
      </c>
      <c r="AA1" s="1" t="s">
        <v>97</v>
      </c>
      <c r="AB1" s="1" t="s">
        <v>38</v>
      </c>
      <c r="AC1" s="1" t="s">
        <v>61</v>
      </c>
      <c r="AD1" s="1" t="s">
        <v>154</v>
      </c>
      <c r="AE1" s="1" t="s">
        <v>141</v>
      </c>
    </row>
    <row r="2" spans="1:31" x14ac:dyDescent="0.2">
      <c r="A2" s="13">
        <v>1</v>
      </c>
      <c r="B2" s="14" t="s">
        <v>16</v>
      </c>
      <c r="C2" s="15" t="s">
        <v>132</v>
      </c>
      <c r="D2" s="14" t="s">
        <v>6</v>
      </c>
      <c r="E2" s="14" t="s">
        <v>132</v>
      </c>
      <c r="F2" s="14" t="s">
        <v>22</v>
      </c>
      <c r="G2" s="14" t="s">
        <v>118</v>
      </c>
      <c r="H2" s="16">
        <v>4.0182711935715799E-2</v>
      </c>
      <c r="I2" s="16">
        <v>3.4593199338540498E-3</v>
      </c>
      <c r="J2" s="16">
        <v>6.3168629937147197E-2</v>
      </c>
      <c r="K2" s="16">
        <v>6.4668636412821903E-3</v>
      </c>
      <c r="L2" s="16">
        <v>3.5434166914772303E-2</v>
      </c>
      <c r="M2" s="16">
        <v>2.01283739625699E-2</v>
      </c>
      <c r="N2" s="16">
        <v>0.16627008085144901</v>
      </c>
      <c r="O2" s="16">
        <v>4.55605540206395E-2</v>
      </c>
      <c r="P2" s="16">
        <v>1.24237330168003E-2</v>
      </c>
      <c r="Q2" s="16">
        <v>1.5873204899495098E-2</v>
      </c>
      <c r="R2" s="16">
        <v>9.4946820539192102E-3</v>
      </c>
      <c r="S2" s="16">
        <v>7.6112724123796896E-2</v>
      </c>
      <c r="T2" s="16">
        <v>1.03345307189591E-2</v>
      </c>
      <c r="U2" s="16">
        <v>1.4605707308511199E-4</v>
      </c>
      <c r="V2" s="16">
        <v>5.6804387010400803E-2</v>
      </c>
      <c r="W2" s="16">
        <v>2.24952104106491E-2</v>
      </c>
      <c r="X2" s="16">
        <v>5.2654524429721801E-2</v>
      </c>
      <c r="Y2" s="16">
        <v>0.35205154566902103</v>
      </c>
      <c r="Z2" s="16">
        <v>0.19277217659700999</v>
      </c>
      <c r="AA2" s="16">
        <v>0.152906282118148</v>
      </c>
      <c r="AB2" s="16">
        <v>0.21650663975050999</v>
      </c>
      <c r="AC2" s="16">
        <v>0.12671045984358301</v>
      </c>
      <c r="AD2" s="16">
        <v>4.0212912833418102E-2</v>
      </c>
      <c r="AE2" s="16">
        <v>8.2544441240878799E-2</v>
      </c>
    </row>
    <row r="3" spans="1:31" x14ac:dyDescent="0.2">
      <c r="A3" s="13">
        <v>2</v>
      </c>
      <c r="B3" s="17" t="s">
        <v>16</v>
      </c>
      <c r="C3" s="18" t="s">
        <v>132</v>
      </c>
      <c r="D3" s="17" t="s">
        <v>85</v>
      </c>
      <c r="E3" s="17" t="s">
        <v>132</v>
      </c>
      <c r="F3" s="17" t="s">
        <v>32</v>
      </c>
      <c r="G3" s="17" t="s">
        <v>118</v>
      </c>
      <c r="H3" s="19">
        <v>3.3375494511298599E-2</v>
      </c>
      <c r="I3" s="19">
        <v>6.1802352549859803E-3</v>
      </c>
      <c r="J3" s="19">
        <v>3.2784240502179E-3</v>
      </c>
      <c r="K3" s="19">
        <v>2.25092638399975E-2</v>
      </c>
      <c r="L3" s="19">
        <v>8.2342454844883201E-2</v>
      </c>
      <c r="M3" s="19">
        <v>2.0059645010326701E-3</v>
      </c>
      <c r="N3" s="19">
        <v>0.155632626281797</v>
      </c>
      <c r="O3" s="19">
        <v>3.93849186081165E-2</v>
      </c>
      <c r="P3" s="19">
        <v>3.3180721719489402E-2</v>
      </c>
      <c r="Q3" s="19">
        <v>1.3759820001388401E-2</v>
      </c>
      <c r="R3" s="19">
        <v>2.5333168602906402E-2</v>
      </c>
      <c r="S3" s="19">
        <v>2.0388525378470999E-2</v>
      </c>
      <c r="T3" s="19">
        <v>8.8202206531015903E-3</v>
      </c>
      <c r="U3" s="19">
        <v>1.2400236279957099E-4</v>
      </c>
      <c r="V3" s="19">
        <v>3.0725208546350899E-2</v>
      </c>
      <c r="W3" s="19">
        <v>7.9111925657094698E-2</v>
      </c>
      <c r="X3" s="19">
        <v>2.1002441324539701E-2</v>
      </c>
      <c r="Y3" s="19">
        <v>0.45552226283586</v>
      </c>
      <c r="Z3" s="19">
        <v>0.13680023938693001</v>
      </c>
      <c r="AA3" s="19">
        <v>9.5868913037674003E-2</v>
      </c>
      <c r="AB3" s="19">
        <v>0.399963859865758</v>
      </c>
      <c r="AC3" s="19">
        <v>0.14829654952999299</v>
      </c>
      <c r="AD3" s="19">
        <v>2.81346633775542E-2</v>
      </c>
      <c r="AE3" s="19">
        <v>1.95442777463831E-2</v>
      </c>
    </row>
    <row r="4" spans="1:31" x14ac:dyDescent="0.2">
      <c r="A4" s="13">
        <v>3</v>
      </c>
      <c r="B4" s="14" t="s">
        <v>16</v>
      </c>
      <c r="C4" s="15" t="s">
        <v>132</v>
      </c>
      <c r="D4" s="14" t="s">
        <v>5</v>
      </c>
      <c r="E4" s="14" t="s">
        <v>132</v>
      </c>
      <c r="F4" s="14" t="s">
        <v>77</v>
      </c>
      <c r="G4" s="14" t="s">
        <v>118</v>
      </c>
      <c r="H4" s="16">
        <v>4.6526876510831497E-2</v>
      </c>
      <c r="I4" s="16">
        <v>4.3427726255165803E-3</v>
      </c>
      <c r="J4" s="16">
        <v>1.30225189621013E-2</v>
      </c>
      <c r="K4" s="16">
        <v>1.6273051948039699E-2</v>
      </c>
      <c r="L4" s="16">
        <v>6.7964677981217303E-2</v>
      </c>
      <c r="M4" s="16">
        <v>7.8676829546391203E-3</v>
      </c>
      <c r="N4" s="16">
        <v>0.23890382608362901</v>
      </c>
      <c r="O4" s="16">
        <v>1.5441488880698699E-2</v>
      </c>
      <c r="P4" s="16">
        <v>3.7207219492335998E-2</v>
      </c>
      <c r="Q4" s="16">
        <v>3.0082904715176401E-2</v>
      </c>
      <c r="R4" s="16">
        <v>2.6797722814973599E-2</v>
      </c>
      <c r="S4" s="16">
        <v>7.6598656547386706E-2</v>
      </c>
      <c r="T4" s="16">
        <v>2.3615647477737201E-2</v>
      </c>
      <c r="U4" s="16">
        <v>1.8216124886664801E-4</v>
      </c>
      <c r="V4" s="16">
        <v>6.5671447542623801E-2</v>
      </c>
      <c r="W4" s="16">
        <v>5.7749314812873799E-2</v>
      </c>
      <c r="X4" s="16">
        <v>5.73449468697095E-2</v>
      </c>
      <c r="Y4" s="16">
        <v>0.78451201257393899</v>
      </c>
      <c r="Z4" s="16">
        <v>0.102941663011249</v>
      </c>
      <c r="AA4" s="16">
        <v>6.7974284173488206E-2</v>
      </c>
      <c r="AB4" s="16">
        <v>0.24248740138409899</v>
      </c>
      <c r="AC4" s="16">
        <v>5.2775784982739098E-2</v>
      </c>
      <c r="AD4" s="16">
        <v>3.8807906317618601E-2</v>
      </c>
      <c r="AE4" s="16">
        <v>3.25426131721262E-2</v>
      </c>
    </row>
    <row r="5" spans="1:31" x14ac:dyDescent="0.2">
      <c r="A5" s="13">
        <v>4</v>
      </c>
      <c r="B5" s="17" t="s">
        <v>16</v>
      </c>
      <c r="C5" s="18" t="s">
        <v>132</v>
      </c>
      <c r="D5" s="17" t="s">
        <v>87</v>
      </c>
      <c r="E5" s="17" t="s">
        <v>132</v>
      </c>
      <c r="F5" s="17" t="s">
        <v>111</v>
      </c>
      <c r="G5" s="17" t="s">
        <v>118</v>
      </c>
      <c r="H5" s="19">
        <v>3.2800136920780001E-2</v>
      </c>
      <c r="I5" s="19">
        <v>4.8977785075185402E-2</v>
      </c>
      <c r="J5" s="19">
        <v>4.7514714957857203E-2</v>
      </c>
      <c r="K5" s="19">
        <v>2.7468679476317901E-2</v>
      </c>
      <c r="L5" s="19">
        <v>5.4480684311304102E-2</v>
      </c>
      <c r="M5" s="19">
        <v>8.8132118800261002E-3</v>
      </c>
      <c r="N5" s="19">
        <v>7.2162254482238203E-2</v>
      </c>
      <c r="O5" s="19">
        <v>3.7825373111695301E-2</v>
      </c>
      <c r="P5" s="19">
        <v>2.4928724305539E-2</v>
      </c>
      <c r="Q5" s="19">
        <v>8.8246932532388394E-3</v>
      </c>
      <c r="R5" s="19">
        <v>7.6158965067831E-2</v>
      </c>
      <c r="S5" s="19">
        <v>3.2502284874739003E-2</v>
      </c>
      <c r="T5" s="19">
        <v>8.6933452842979902E-2</v>
      </c>
      <c r="U5" s="19">
        <v>8.8634555110909299E-2</v>
      </c>
      <c r="V5" s="19">
        <v>0.107813703428742</v>
      </c>
      <c r="W5" s="19">
        <v>4.5580751350006297E-2</v>
      </c>
      <c r="X5" s="19">
        <v>2.55896700440628E-2</v>
      </c>
      <c r="Y5" s="19">
        <v>0.69472365593464303</v>
      </c>
      <c r="Z5" s="19">
        <v>5.8149140546781601E-2</v>
      </c>
      <c r="AA5" s="19">
        <v>8.8060131147561699E-2</v>
      </c>
      <c r="AB5" s="19">
        <v>0.21429871528017699</v>
      </c>
      <c r="AC5" s="19">
        <v>6.6838402127689905E-2</v>
      </c>
      <c r="AD5" s="19">
        <v>0.20410793809729799</v>
      </c>
      <c r="AE5" s="19">
        <v>6.5173605020622402E-2</v>
      </c>
    </row>
    <row r="6" spans="1:31" x14ac:dyDescent="0.2">
      <c r="A6" s="13">
        <v>5</v>
      </c>
      <c r="B6" s="14" t="s">
        <v>37</v>
      </c>
      <c r="C6" s="15" t="s">
        <v>132</v>
      </c>
      <c r="D6" s="14" t="s">
        <v>136</v>
      </c>
      <c r="E6" s="14" t="s">
        <v>132</v>
      </c>
      <c r="F6" s="14" t="s">
        <v>89</v>
      </c>
      <c r="G6" s="14" t="s">
        <v>118</v>
      </c>
      <c r="H6" s="16">
        <v>8.1194449489387796E-2</v>
      </c>
      <c r="I6" s="16">
        <v>8.6420553240990801E-3</v>
      </c>
      <c r="J6" s="16">
        <v>6.79816491101186E-2</v>
      </c>
      <c r="K6" s="16">
        <v>0.581079064262502</v>
      </c>
      <c r="L6" s="16">
        <v>7.6618926400157703E-2</v>
      </c>
      <c r="M6" s="16">
        <v>0.16229942603682701</v>
      </c>
      <c r="N6" s="16">
        <v>0.29174868871661702</v>
      </c>
      <c r="O6" s="16">
        <v>1.6184350989043202E-2</v>
      </c>
      <c r="P6" s="16">
        <v>4.3385402203955502E-2</v>
      </c>
      <c r="Q6" s="16">
        <v>5.4194249869736401E-2</v>
      </c>
      <c r="R6" s="16">
        <v>2.1586008910196301E-2</v>
      </c>
      <c r="S6" s="16">
        <v>8.2689749812947504</v>
      </c>
      <c r="T6" s="16">
        <v>4.4797074528200399E-2</v>
      </c>
      <c r="U6" s="16">
        <v>0.178145300676566</v>
      </c>
      <c r="V6" s="16">
        <v>8.4575164018877796E-2</v>
      </c>
      <c r="W6" s="16">
        <v>1.76561284496503E-2</v>
      </c>
      <c r="X6" s="16">
        <v>1.2643504538329899</v>
      </c>
      <c r="Y6" s="16">
        <v>5.3436172206199499E-2</v>
      </c>
      <c r="Z6" s="16">
        <v>7.2286269906661801E-2</v>
      </c>
      <c r="AA6" s="16">
        <v>8.1007591076520599E-2</v>
      </c>
      <c r="AB6" s="16">
        <v>3.4734103910756799E-2</v>
      </c>
      <c r="AC6" s="16">
        <v>6.8762612765379497E-2</v>
      </c>
      <c r="AD6" s="16">
        <v>2.2950487909957601E-2</v>
      </c>
      <c r="AE6" s="16">
        <v>5.4140243151771801E-2</v>
      </c>
    </row>
    <row r="7" spans="1:31" x14ac:dyDescent="0.2">
      <c r="A7" s="13">
        <v>6</v>
      </c>
      <c r="B7" s="17" t="s">
        <v>52</v>
      </c>
      <c r="C7" s="18" t="s">
        <v>132</v>
      </c>
      <c r="D7" s="17" t="s">
        <v>86</v>
      </c>
      <c r="E7" s="17" t="s">
        <v>132</v>
      </c>
      <c r="F7" s="17" t="s">
        <v>113</v>
      </c>
      <c r="G7" s="17" t="s">
        <v>118</v>
      </c>
      <c r="H7" s="19">
        <v>2.4986642404697099E-2</v>
      </c>
      <c r="I7" s="19">
        <v>7.5306076738480998E-2</v>
      </c>
      <c r="J7" s="19">
        <v>7.0544688607512701E-2</v>
      </c>
      <c r="K7" s="19">
        <v>0.24030991461401999</v>
      </c>
      <c r="L7" s="19">
        <v>6.7289427623553499E-2</v>
      </c>
      <c r="M7" s="19">
        <v>3.1482979379845497E-2</v>
      </c>
      <c r="N7" s="19">
        <v>8.7322253807530198E-2</v>
      </c>
      <c r="O7" s="19">
        <v>0.11041438432228901</v>
      </c>
      <c r="P7" s="19">
        <v>2.4239376223135999E-2</v>
      </c>
      <c r="Q7" s="19">
        <v>5.0047732747023302E-2</v>
      </c>
      <c r="R7" s="19">
        <v>8.0061095803146506E-2</v>
      </c>
      <c r="S7" s="19">
        <v>0.66788226346833002</v>
      </c>
      <c r="T7" s="19">
        <v>3.05582728062542E-2</v>
      </c>
      <c r="U7" s="19">
        <v>9.84428082232464E-2</v>
      </c>
      <c r="V7" s="19">
        <v>3.5618332890582E-2</v>
      </c>
      <c r="W7" s="19">
        <v>0.11974310846266401</v>
      </c>
      <c r="X7" s="19">
        <v>0.153329425737775</v>
      </c>
      <c r="Y7" s="19">
        <v>5.1488126314644798E-2</v>
      </c>
      <c r="Z7" s="19">
        <v>3.3412944673406698E-2</v>
      </c>
      <c r="AA7" s="19">
        <v>5.2525216774565099E-2</v>
      </c>
      <c r="AB7" s="19">
        <v>4.08942887125225E-2</v>
      </c>
      <c r="AC7" s="19">
        <v>2.8595741513624401E-2</v>
      </c>
      <c r="AD7" s="19">
        <v>4.7727359732615798E-2</v>
      </c>
      <c r="AE7" s="19">
        <v>2.9114718932931501E-2</v>
      </c>
    </row>
    <row r="8" spans="1:31" x14ac:dyDescent="0.2">
      <c r="A8" s="13">
        <v>7</v>
      </c>
      <c r="B8" s="14" t="s">
        <v>41</v>
      </c>
      <c r="C8" s="15" t="s">
        <v>132</v>
      </c>
      <c r="D8" s="14" t="s">
        <v>116</v>
      </c>
      <c r="E8" s="14" t="s">
        <v>132</v>
      </c>
      <c r="F8" s="14" t="s">
        <v>144</v>
      </c>
      <c r="G8" s="14" t="s">
        <v>118</v>
      </c>
      <c r="H8" s="16">
        <v>0.154604788204939</v>
      </c>
      <c r="I8" s="16">
        <v>3.7687064104770497E-2</v>
      </c>
      <c r="J8" s="16">
        <v>4.3072801826500098E-2</v>
      </c>
      <c r="K8" s="16">
        <v>1.5944552059651802E-2</v>
      </c>
      <c r="L8" s="16">
        <v>1.6349163012185398E-2</v>
      </c>
      <c r="M8" s="16">
        <v>7.89259891513239E-2</v>
      </c>
      <c r="N8" s="16">
        <v>5.7996584212197201E-2</v>
      </c>
      <c r="O8" s="16">
        <v>5.1877229212735E-2</v>
      </c>
      <c r="P8" s="16">
        <v>3.2129116782199298E-2</v>
      </c>
      <c r="Q8" s="16">
        <v>3.5736033549151003E-2</v>
      </c>
      <c r="R8" s="16">
        <v>4.73102869639105E-2</v>
      </c>
      <c r="S8" s="16">
        <v>0.17927511070284299</v>
      </c>
      <c r="T8" s="16">
        <v>6.6020510778775104E-2</v>
      </c>
      <c r="U8" s="16">
        <v>4.7157780209348701E-2</v>
      </c>
      <c r="V8" s="16">
        <v>0.111476787868941</v>
      </c>
      <c r="W8" s="16">
        <v>3.7370064131278101E-2</v>
      </c>
      <c r="X8" s="16">
        <v>0.131511271250879</v>
      </c>
      <c r="Y8" s="16">
        <v>7.7119712556491304E-2</v>
      </c>
      <c r="Z8" s="16">
        <v>0.15264106704362301</v>
      </c>
      <c r="AA8" s="16">
        <v>4.5722291918195102E-2</v>
      </c>
      <c r="AB8" s="16">
        <v>4.9516209234860602E-2</v>
      </c>
      <c r="AC8" s="16">
        <v>6.6811649380377994E-2</v>
      </c>
      <c r="AD8" s="16">
        <v>3.9644482394115103E-2</v>
      </c>
      <c r="AE8" s="16">
        <v>3.2876300733222001E-2</v>
      </c>
    </row>
    <row r="9" spans="1:31" x14ac:dyDescent="0.2">
      <c r="A9" s="13">
        <v>8</v>
      </c>
      <c r="B9" s="17" t="s">
        <v>105</v>
      </c>
      <c r="C9" s="18" t="s">
        <v>132</v>
      </c>
      <c r="D9" s="17" t="s">
        <v>157</v>
      </c>
      <c r="E9" s="17" t="s">
        <v>132</v>
      </c>
      <c r="F9" s="17" t="s">
        <v>90</v>
      </c>
      <c r="G9" s="17" t="s">
        <v>118</v>
      </c>
      <c r="H9" s="19">
        <v>4.0366377918719797E-2</v>
      </c>
      <c r="I9" s="19">
        <v>5.6669138743192203E-2</v>
      </c>
      <c r="J9" s="19">
        <v>2.7837156223701299E-2</v>
      </c>
      <c r="K9" s="19">
        <v>1.7409610259392399E-2</v>
      </c>
      <c r="L9" s="19">
        <v>3.06913468622701E-2</v>
      </c>
      <c r="M9" s="19">
        <v>5.1158046312252903E-2</v>
      </c>
      <c r="N9" s="19">
        <v>3.8902386225133402E-2</v>
      </c>
      <c r="O9" s="19">
        <v>7.2654018344890506E-2</v>
      </c>
      <c r="P9" s="19">
        <v>1.38941658312792E-2</v>
      </c>
      <c r="Q9" s="19">
        <v>3.31104700074921E-2</v>
      </c>
      <c r="R9" s="19">
        <v>8.3095692572461702E-2</v>
      </c>
      <c r="S9" s="19">
        <v>3.8935409768417001E-2</v>
      </c>
      <c r="T9" s="19">
        <v>7.4403584615496496E-2</v>
      </c>
      <c r="U9" s="19">
        <v>4.02212667775615E-2</v>
      </c>
      <c r="V9" s="19">
        <v>8.8971804777872004E-2</v>
      </c>
      <c r="W9" s="19">
        <v>6.9494858424473699E-2</v>
      </c>
      <c r="X9" s="19">
        <v>4.7338805863053703E-2</v>
      </c>
      <c r="Y9" s="19">
        <v>7.31050911265793E-2</v>
      </c>
      <c r="Z9" s="19">
        <v>8.3392725073749993E-2</v>
      </c>
      <c r="AA9" s="19">
        <v>2.3846295556272799E-2</v>
      </c>
      <c r="AB9" s="19">
        <v>3.0400286471659099E-2</v>
      </c>
      <c r="AC9" s="19">
        <v>5.0078885104741497E-2</v>
      </c>
      <c r="AD9" s="19">
        <v>5.5370768689516001E-2</v>
      </c>
      <c r="AE9" s="19">
        <v>1.96056862890687E-2</v>
      </c>
    </row>
    <row r="10" spans="1:31" x14ac:dyDescent="0.2">
      <c r="A10" s="13">
        <v>9</v>
      </c>
      <c r="B10" s="14" t="s">
        <v>3</v>
      </c>
      <c r="C10" s="15" t="s">
        <v>132</v>
      </c>
      <c r="D10" s="14" t="s">
        <v>72</v>
      </c>
      <c r="E10" s="14" t="s">
        <v>132</v>
      </c>
      <c r="F10" s="14" t="s">
        <v>109</v>
      </c>
      <c r="G10" s="14" t="s">
        <v>118</v>
      </c>
      <c r="H10" s="16">
        <v>1.36702731463881E-2</v>
      </c>
      <c r="I10" s="16">
        <v>6.1716428494357101E-2</v>
      </c>
      <c r="J10" s="16">
        <v>3.1031338446395398E-2</v>
      </c>
      <c r="K10" s="16">
        <v>3.1795117634069801E-2</v>
      </c>
      <c r="L10" s="16">
        <v>6.2678495358219802E-2</v>
      </c>
      <c r="M10" s="16">
        <v>3.5750513714546399E-2</v>
      </c>
      <c r="N10" s="16">
        <v>1.7898741890553099E-2</v>
      </c>
      <c r="O10" s="16">
        <v>4.5501804352359898E-2</v>
      </c>
      <c r="P10" s="16">
        <v>3.2666129089594702E-2</v>
      </c>
      <c r="Q10" s="16">
        <v>5.7218869572768102E-2</v>
      </c>
      <c r="R10" s="16">
        <v>7.8819966280803705E-2</v>
      </c>
      <c r="S10" s="16">
        <v>4.71637612740353E-2</v>
      </c>
      <c r="T10" s="16">
        <v>3.38888365455993E-2</v>
      </c>
      <c r="U10" s="16">
        <v>5.8642362039923103E-2</v>
      </c>
      <c r="V10" s="16">
        <v>3.8923797779957602E-2</v>
      </c>
      <c r="W10" s="16">
        <v>8.4943477700756706E-2</v>
      </c>
      <c r="X10" s="16">
        <v>3.5285557240005698E-2</v>
      </c>
      <c r="Y10" s="16">
        <v>7.4740922579926594E-2</v>
      </c>
      <c r="Z10" s="16">
        <v>4.85762530128813E-2</v>
      </c>
      <c r="AA10" s="16">
        <v>4.4743501373971498E-2</v>
      </c>
      <c r="AB10" s="16">
        <v>4.1066938444323901E-2</v>
      </c>
      <c r="AC10" s="16">
        <v>1.9309233939844999E-2</v>
      </c>
      <c r="AD10" s="16">
        <v>6.4316454038283996E-2</v>
      </c>
      <c r="AE10" s="16">
        <v>1.8761759502859202E-2</v>
      </c>
    </row>
    <row r="11" spans="1:31" x14ac:dyDescent="0.2">
      <c r="A11" s="13">
        <v>10</v>
      </c>
      <c r="B11" s="17" t="s">
        <v>88</v>
      </c>
      <c r="C11" s="18" t="s">
        <v>132</v>
      </c>
      <c r="D11" s="17" t="s">
        <v>4</v>
      </c>
      <c r="E11" s="17" t="s">
        <v>132</v>
      </c>
      <c r="F11" s="17" t="s">
        <v>29</v>
      </c>
      <c r="G11" s="17" t="s">
        <v>118</v>
      </c>
      <c r="H11" s="19">
        <v>4.5091704731222301E-2</v>
      </c>
      <c r="I11" s="19">
        <v>2.2486705444101099E-2</v>
      </c>
      <c r="J11" s="19">
        <v>6.0569288697802599E-2</v>
      </c>
      <c r="K11" s="19">
        <v>2.9692596878398599E-2</v>
      </c>
      <c r="L11" s="19">
        <v>4.4765657246508099E-2</v>
      </c>
      <c r="M11" s="19">
        <v>5.7484831137615197E-2</v>
      </c>
      <c r="N11" s="19">
        <v>1.0834287550699999E-2</v>
      </c>
      <c r="O11" s="19">
        <v>2.7235362282776999E-2</v>
      </c>
      <c r="P11" s="19">
        <v>1.7455186884583598E-2</v>
      </c>
      <c r="Q11" s="19">
        <v>4.03442879218497E-2</v>
      </c>
      <c r="R11" s="19">
        <v>1.7436079415176099E-2</v>
      </c>
      <c r="S11" s="19">
        <v>8.0527386617693306E-2</v>
      </c>
      <c r="T11" s="19">
        <v>2.3247539496524298E-2</v>
      </c>
      <c r="U11" s="19">
        <v>5.7703135279406202E-2</v>
      </c>
      <c r="V11" s="19">
        <v>6.2354956660717803E-2</v>
      </c>
      <c r="W11" s="19">
        <v>2.11525686540051E-2</v>
      </c>
      <c r="X11" s="19">
        <v>7.9237527611657393E-2</v>
      </c>
      <c r="Y11" s="19">
        <v>2.84975884146276E-2</v>
      </c>
      <c r="Z11" s="19">
        <v>5.3820063147995999E-2</v>
      </c>
      <c r="AA11" s="19">
        <v>9.5687002440812796E-2</v>
      </c>
      <c r="AB11" s="19">
        <v>3.9303779540301897E-2</v>
      </c>
      <c r="AC11" s="19">
        <v>4.3856361056182402E-2</v>
      </c>
      <c r="AD11" s="19">
        <v>1.9826019198712599E-2</v>
      </c>
      <c r="AE11" s="19">
        <v>5.9306628877759802E-2</v>
      </c>
    </row>
    <row r="12" spans="1:31" x14ac:dyDescent="0.2">
      <c r="A12" s="13">
        <v>12</v>
      </c>
      <c r="B12" s="17" t="s">
        <v>56</v>
      </c>
      <c r="C12" s="18" t="s">
        <v>132</v>
      </c>
      <c r="D12" s="17" t="s">
        <v>104</v>
      </c>
      <c r="E12" s="17" t="s">
        <v>132</v>
      </c>
      <c r="F12" s="17" t="s">
        <v>147</v>
      </c>
      <c r="G12" s="17" t="s">
        <v>118</v>
      </c>
      <c r="H12" s="19">
        <v>8.0374398804207506E-2</v>
      </c>
      <c r="I12" s="19">
        <v>2.11522288397556E-2</v>
      </c>
      <c r="J12" s="19">
        <v>4.0649097854138602E-2</v>
      </c>
      <c r="K12" s="19">
        <v>0.61529264657319804</v>
      </c>
      <c r="L12" s="19">
        <v>4.1869804329896398E-2</v>
      </c>
      <c r="M12" s="19">
        <v>0.10336070511380201</v>
      </c>
      <c r="N12" s="19">
        <v>9.5542801476687905E-3</v>
      </c>
      <c r="O12" s="19">
        <v>0.106157973776588</v>
      </c>
      <c r="P12" s="19">
        <v>8.1950790819270605E-2</v>
      </c>
      <c r="Q12" s="19">
        <v>4.9804655310675398E-2</v>
      </c>
      <c r="R12" s="19">
        <v>1.62612893207103E-2</v>
      </c>
      <c r="S12" s="19">
        <v>0.48523518941318899</v>
      </c>
      <c r="T12" s="19">
        <v>8.8379231562968105E-2</v>
      </c>
      <c r="U12" s="19">
        <v>3.6670093374129097E-2</v>
      </c>
      <c r="V12" s="19">
        <v>2.6412708486316501E-2</v>
      </c>
      <c r="W12" s="19">
        <v>3.7648846063518301E-2</v>
      </c>
      <c r="X12" s="19">
        <v>1.3069825687948</v>
      </c>
      <c r="Y12" s="19">
        <v>8.6522596168394098E-2</v>
      </c>
      <c r="Z12" s="19">
        <v>6.9100075369547806E-2</v>
      </c>
      <c r="AA12" s="19">
        <v>1.49774516214887E-2</v>
      </c>
      <c r="AB12" s="19">
        <v>0.115441132429747</v>
      </c>
      <c r="AC12" s="19">
        <v>0.110803585403037</v>
      </c>
      <c r="AD12" s="19">
        <v>7.0475574332010696E-2</v>
      </c>
      <c r="AE12" s="19">
        <v>7.77013552127966E-2</v>
      </c>
    </row>
    <row r="13" spans="1:31" x14ac:dyDescent="0.2">
      <c r="A13" s="13">
        <v>13</v>
      </c>
      <c r="B13" s="14" t="s">
        <v>76</v>
      </c>
      <c r="C13" s="15" t="s">
        <v>132</v>
      </c>
      <c r="D13" s="14" t="s">
        <v>48</v>
      </c>
      <c r="E13" s="14" t="s">
        <v>132</v>
      </c>
      <c r="F13" s="14" t="s">
        <v>53</v>
      </c>
      <c r="G13" s="14" t="s">
        <v>118</v>
      </c>
      <c r="H13" s="16">
        <v>2.5370462006021999E-2</v>
      </c>
      <c r="I13" s="16">
        <v>0.23189912197557599</v>
      </c>
      <c r="J13" s="16">
        <v>0.25504252699742103</v>
      </c>
      <c r="K13" s="16">
        <v>1.08046685133826</v>
      </c>
      <c r="L13" s="16">
        <v>0.13931473842532999</v>
      </c>
      <c r="M13" s="16">
        <v>0.214534731308794</v>
      </c>
      <c r="N13" s="16">
        <v>6.6414030018302303E-2</v>
      </c>
      <c r="O13" s="16">
        <v>0.113576039937207</v>
      </c>
      <c r="P13" s="16">
        <v>0.159308066292456</v>
      </c>
      <c r="Q13" s="16">
        <v>0.109242348118387</v>
      </c>
      <c r="R13" s="16">
        <v>0.130883931648625</v>
      </c>
      <c r="S13" s="16">
        <v>0.24702059938305199</v>
      </c>
      <c r="T13" s="16">
        <v>0.18442148729424401</v>
      </c>
      <c r="U13" s="16">
        <v>1.21694929278866E-2</v>
      </c>
      <c r="V13" s="16">
        <v>0.111098730530899</v>
      </c>
      <c r="W13" s="16">
        <v>0.20011352750830499</v>
      </c>
      <c r="X13" s="16">
        <v>1.1090360657265099</v>
      </c>
      <c r="Y13" s="16">
        <v>0.17942786212077699</v>
      </c>
      <c r="Z13" s="16">
        <v>0.12576097359243599</v>
      </c>
      <c r="AA13" s="16">
        <v>4.8470765115719197E-2</v>
      </c>
      <c r="AB13" s="16">
        <v>0.14055411378056301</v>
      </c>
      <c r="AC13" s="16">
        <v>0.106482638380256</v>
      </c>
      <c r="AD13" s="16">
        <v>0.10292024291440301</v>
      </c>
      <c r="AE13" s="16">
        <v>0.110518743072187</v>
      </c>
    </row>
    <row r="14" spans="1:31" x14ac:dyDescent="0.2">
      <c r="A14" s="13">
        <v>14</v>
      </c>
      <c r="B14" s="17" t="s">
        <v>130</v>
      </c>
      <c r="C14" s="18" t="s">
        <v>132</v>
      </c>
      <c r="D14" s="17" t="s">
        <v>153</v>
      </c>
      <c r="E14" s="17" t="s">
        <v>132</v>
      </c>
      <c r="F14" s="17" t="s">
        <v>73</v>
      </c>
      <c r="G14" s="17" t="s">
        <v>118</v>
      </c>
      <c r="H14" s="19">
        <v>4.8621504519691598E-2</v>
      </c>
      <c r="I14" s="19">
        <v>4.5469432348628103E-2</v>
      </c>
      <c r="J14" s="19">
        <v>3.1503232902580301E-2</v>
      </c>
      <c r="K14" s="19">
        <v>4.6271140991556298E-2</v>
      </c>
      <c r="L14" s="19">
        <v>3.9350126122488199E-2</v>
      </c>
      <c r="M14" s="19">
        <v>6.1923779874384903E-2</v>
      </c>
      <c r="N14" s="19">
        <v>2.67105254773372E-2</v>
      </c>
      <c r="O14" s="19">
        <v>5.8901193566792097E-2</v>
      </c>
      <c r="P14" s="19">
        <v>1.6270108507458199E-2</v>
      </c>
      <c r="Q14" s="19">
        <v>2.4007188432467699E-2</v>
      </c>
      <c r="R14" s="19">
        <v>4.3633203761812803E-2</v>
      </c>
      <c r="S14" s="19">
        <v>5.9299548801706799E-2</v>
      </c>
      <c r="T14" s="19">
        <v>7.7215383158278597E-2</v>
      </c>
      <c r="U14" s="19">
        <v>3.1879208245915398E-2</v>
      </c>
      <c r="V14" s="19">
        <v>8.0982176467535694E-2</v>
      </c>
      <c r="W14" s="19">
        <v>2.93082444789531E-2</v>
      </c>
      <c r="X14" s="19">
        <v>9.6327268300625199E-2</v>
      </c>
      <c r="Y14" s="19">
        <v>7.7914553389606303E-2</v>
      </c>
      <c r="Z14" s="19">
        <v>6.4851611491861597E-2</v>
      </c>
      <c r="AA14" s="19">
        <v>5.1245035310619698E-2</v>
      </c>
      <c r="AB14" s="19">
        <v>2.9731142050550202E-2</v>
      </c>
      <c r="AC14" s="19">
        <v>4.5036967355670803E-2</v>
      </c>
      <c r="AD14" s="19">
        <v>2.7833878775492201E-2</v>
      </c>
      <c r="AE14" s="19">
        <v>3.4697887323529603E-2</v>
      </c>
    </row>
    <row r="15" spans="1:31" x14ac:dyDescent="0.2">
      <c r="A15" s="13">
        <v>15</v>
      </c>
      <c r="B15" s="14" t="s">
        <v>13</v>
      </c>
      <c r="C15" s="15" t="s">
        <v>132</v>
      </c>
      <c r="D15" s="14" t="s">
        <v>54</v>
      </c>
      <c r="E15" s="14" t="s">
        <v>132</v>
      </c>
      <c r="F15" s="14" t="s">
        <v>103</v>
      </c>
      <c r="G15" s="14" t="s">
        <v>118</v>
      </c>
      <c r="H15" s="16">
        <v>0.35669249756164001</v>
      </c>
      <c r="I15" s="16">
        <v>0.133103146407684</v>
      </c>
      <c r="J15" s="16">
        <v>8.48600695296957E-2</v>
      </c>
      <c r="K15" s="16">
        <v>0.220057617023834</v>
      </c>
      <c r="L15" s="16">
        <v>0.18809355045406501</v>
      </c>
      <c r="M15" s="16">
        <v>0.36632585793518502</v>
      </c>
      <c r="N15" s="16">
        <v>0.78433843897104505</v>
      </c>
      <c r="O15" s="16">
        <v>3.3506955330117001</v>
      </c>
      <c r="P15" s="16">
        <v>0.61052378674191599</v>
      </c>
      <c r="Q15" s="16">
        <v>0.35599233078447301</v>
      </c>
      <c r="R15" s="16">
        <v>0.124749327277173</v>
      </c>
      <c r="S15" s="16">
        <v>0.26126798460285899</v>
      </c>
      <c r="T15" s="16">
        <v>9.2417555297262893E-2</v>
      </c>
      <c r="U15" s="16">
        <v>0.27709959049285399</v>
      </c>
      <c r="V15" s="16">
        <v>0.22314082452930301</v>
      </c>
      <c r="W15" s="16">
        <v>3.0608190462716802</v>
      </c>
      <c r="X15" s="16">
        <v>0.489338778398206</v>
      </c>
      <c r="Y15" s="16">
        <v>9.0446226793526499E-2</v>
      </c>
      <c r="Z15" s="16">
        <v>0.23650511041332001</v>
      </c>
      <c r="AA15" s="16">
        <v>8.0235009711518996E-3</v>
      </c>
      <c r="AB15" s="16">
        <v>0.222573929052648</v>
      </c>
      <c r="AC15" s="16">
        <v>0.22466313874435001</v>
      </c>
      <c r="AD15" s="16">
        <v>0.18626553608525101</v>
      </c>
      <c r="AE15" s="16">
        <v>0.16597927033359799</v>
      </c>
    </row>
    <row r="16" spans="1:31" x14ac:dyDescent="0.2">
      <c r="A16" s="13">
        <v>16</v>
      </c>
      <c r="B16" s="17" t="s">
        <v>47</v>
      </c>
      <c r="C16" s="18" t="s">
        <v>132</v>
      </c>
      <c r="D16" s="17" t="s">
        <v>131</v>
      </c>
      <c r="E16" s="17" t="s">
        <v>132</v>
      </c>
      <c r="F16" s="17" t="s">
        <v>8</v>
      </c>
      <c r="G16" s="17" t="s">
        <v>118</v>
      </c>
      <c r="H16" s="19">
        <v>8.1602706471769801E-2</v>
      </c>
      <c r="I16" s="19">
        <v>2.97929989763581E-2</v>
      </c>
      <c r="J16" s="19">
        <v>5.7007005698870898E-2</v>
      </c>
      <c r="K16" s="19">
        <v>0.77407397548291601</v>
      </c>
      <c r="L16" s="19">
        <v>6.3759210407617201E-2</v>
      </c>
      <c r="M16" s="19">
        <v>0.12909682986625801</v>
      </c>
      <c r="N16" s="19">
        <v>0.28573852258299098</v>
      </c>
      <c r="O16" s="19">
        <v>1.6501755961725699E-2</v>
      </c>
      <c r="P16" s="19">
        <v>8.9189450895314798E-2</v>
      </c>
      <c r="Q16" s="19">
        <v>0.222739166340269</v>
      </c>
      <c r="R16" s="19">
        <v>1.38085656594043E-2</v>
      </c>
      <c r="S16" s="19">
        <v>0.67286550139530499</v>
      </c>
      <c r="T16" s="19">
        <v>5.8370193250304403E-2</v>
      </c>
      <c r="U16" s="19">
        <v>0.27928577863804299</v>
      </c>
      <c r="V16" s="19">
        <v>6.9281526827390805E-2</v>
      </c>
      <c r="W16" s="19">
        <v>4.6695901061735698E-2</v>
      </c>
      <c r="X16" s="19">
        <v>0.77403505631070801</v>
      </c>
      <c r="Y16" s="19">
        <v>4.3628601073838799E-2</v>
      </c>
      <c r="Z16" s="19">
        <v>6.6496429208991098E-2</v>
      </c>
      <c r="AA16" s="19">
        <v>7.7408514039270293E-2</v>
      </c>
      <c r="AB16" s="19">
        <v>3.26185488926942E-2</v>
      </c>
      <c r="AC16" s="19">
        <v>5.8167375056321198E-2</v>
      </c>
      <c r="AD16" s="19">
        <v>1.5462909750898901E-2</v>
      </c>
      <c r="AE16" s="19">
        <v>4.34607806901375E-2</v>
      </c>
    </row>
    <row r="17" spans="1:31" x14ac:dyDescent="0.2">
      <c r="A17" s="13">
        <v>17</v>
      </c>
      <c r="B17" s="14" t="s">
        <v>76</v>
      </c>
      <c r="C17" s="15" t="s">
        <v>132</v>
      </c>
      <c r="D17" s="14" t="s">
        <v>120</v>
      </c>
      <c r="E17" s="14" t="s">
        <v>132</v>
      </c>
      <c r="F17" s="14" t="s">
        <v>12</v>
      </c>
      <c r="G17" s="14" t="s">
        <v>118</v>
      </c>
      <c r="H17" s="16">
        <v>0.22766576257431301</v>
      </c>
      <c r="I17" s="16">
        <v>5.0362824250775997</v>
      </c>
      <c r="J17" s="16">
        <v>9.7736444083142304E-2</v>
      </c>
      <c r="K17" s="16">
        <v>0.356893530729673</v>
      </c>
      <c r="L17" s="16">
        <v>0.61058482474146003</v>
      </c>
      <c r="M17" s="16">
        <v>0.13688853896130199</v>
      </c>
      <c r="N17" s="16">
        <v>0.36638087020172699</v>
      </c>
      <c r="O17" s="16">
        <v>0.40588093115025797</v>
      </c>
      <c r="P17" s="16">
        <v>0.12799917645459799</v>
      </c>
      <c r="Q17" s="16">
        <v>0.209352727127599</v>
      </c>
      <c r="R17" s="16">
        <v>1.40315580296382</v>
      </c>
      <c r="S17" s="16">
        <v>3.2744961611321503E-2</v>
      </c>
      <c r="T17" s="16">
        <v>0.35371765346395201</v>
      </c>
      <c r="U17" s="16">
        <v>0.84821973443328602</v>
      </c>
      <c r="V17" s="16">
        <v>0.18119588723375299</v>
      </c>
      <c r="W17" s="16">
        <v>0.31550314422922499</v>
      </c>
      <c r="X17" s="16">
        <v>0.14301627043146101</v>
      </c>
      <c r="Y17" s="16">
        <v>0.31053952998339202</v>
      </c>
      <c r="Z17" s="16">
        <v>0.239603572619807</v>
      </c>
      <c r="AA17" s="16">
        <v>4.6271105189679702E-2</v>
      </c>
      <c r="AB17" s="16">
        <v>0.131133043388176</v>
      </c>
      <c r="AC17" s="16">
        <v>6.3779734113976902E-2</v>
      </c>
      <c r="AD17" s="16">
        <v>0.10857444737698101</v>
      </c>
      <c r="AE17" s="16">
        <v>6.5233167330985303E-2</v>
      </c>
    </row>
    <row r="18" spans="1:31" x14ac:dyDescent="0.2">
      <c r="A18" s="13">
        <v>18</v>
      </c>
      <c r="B18" s="17" t="s">
        <v>69</v>
      </c>
      <c r="C18" s="18" t="s">
        <v>132</v>
      </c>
      <c r="D18" s="17" t="s">
        <v>102</v>
      </c>
      <c r="E18" s="17" t="s">
        <v>132</v>
      </c>
      <c r="F18" s="17" t="s">
        <v>93</v>
      </c>
      <c r="G18" s="17" t="s">
        <v>118</v>
      </c>
      <c r="H18" s="19">
        <v>5.3951134954800799E-2</v>
      </c>
      <c r="I18" s="19">
        <v>0.128012127078481</v>
      </c>
      <c r="J18" s="19">
        <v>9.9667827926166297E-2</v>
      </c>
      <c r="K18" s="19">
        <v>1.66880888642856</v>
      </c>
      <c r="L18" s="19">
        <v>0.84627959321066104</v>
      </c>
      <c r="M18" s="19">
        <v>0.17495550644470501</v>
      </c>
      <c r="N18" s="19">
        <v>2.0590070796168699E-2</v>
      </c>
      <c r="O18" s="19">
        <v>2.4547744083835501E-2</v>
      </c>
      <c r="P18" s="19">
        <v>8.4371256224481592E-3</v>
      </c>
      <c r="Q18" s="19">
        <v>4.7336500395649898E-2</v>
      </c>
      <c r="R18" s="19">
        <v>4.0304574805393303</v>
      </c>
      <c r="S18" s="19">
        <v>0.41346793883363298</v>
      </c>
      <c r="T18" s="19">
        <v>0.45970572008983801</v>
      </c>
      <c r="U18" s="19">
        <v>2.2704984203437499</v>
      </c>
      <c r="V18" s="19">
        <v>0.22302512342044201</v>
      </c>
      <c r="W18" s="19">
        <v>0.22375385126488601</v>
      </c>
      <c r="X18" s="19">
        <v>0.22487246405978201</v>
      </c>
      <c r="Y18" s="19">
        <v>8.8050122650298501</v>
      </c>
      <c r="Z18" s="19">
        <v>0.12658643016792301</v>
      </c>
      <c r="AA18" s="19">
        <v>0.10317907556898499</v>
      </c>
      <c r="AB18" s="19">
        <v>0.43643603796953501</v>
      </c>
      <c r="AC18" s="19">
        <v>0.16912956594864101</v>
      </c>
      <c r="AD18" s="19">
        <v>0.16826926640533699</v>
      </c>
      <c r="AE18" s="19">
        <v>6.9358066251981404E-2</v>
      </c>
    </row>
    <row r="19" spans="1:31" x14ac:dyDescent="0.2">
      <c r="A19" s="13">
        <v>19</v>
      </c>
      <c r="B19" s="14" t="s">
        <v>55</v>
      </c>
      <c r="C19" s="15" t="s">
        <v>132</v>
      </c>
      <c r="D19" s="14" t="s">
        <v>156</v>
      </c>
      <c r="E19" s="14" t="s">
        <v>132</v>
      </c>
      <c r="F19" s="14" t="s">
        <v>106</v>
      </c>
      <c r="G19" s="14" t="s">
        <v>118</v>
      </c>
      <c r="H19" s="16">
        <v>1.26986996317126E-2</v>
      </c>
      <c r="I19" s="16">
        <v>4.6259954837935401E-2</v>
      </c>
      <c r="J19" s="16">
        <v>3.5076697401037298E-2</v>
      </c>
      <c r="K19" s="16">
        <v>9.1585626359051899E-3</v>
      </c>
      <c r="L19" s="16">
        <v>7.4483749472475505E-2</v>
      </c>
      <c r="M19" s="16">
        <v>1.7111176319136698E-2</v>
      </c>
      <c r="N19" s="16">
        <v>2.78957606710508E-2</v>
      </c>
      <c r="O19" s="16">
        <v>4.39720426877254E-2</v>
      </c>
      <c r="P19" s="16">
        <v>2.6497566225799799E-2</v>
      </c>
      <c r="Q19" s="16">
        <v>4.8466578843340997E-2</v>
      </c>
      <c r="R19" s="16">
        <v>8.7564120308311594E-2</v>
      </c>
      <c r="S19" s="16">
        <v>6.6126583150073498E-2</v>
      </c>
      <c r="T19" s="16">
        <v>3.3527097111362598E-2</v>
      </c>
      <c r="U19" s="16">
        <v>5.1766280818651797E-2</v>
      </c>
      <c r="V19" s="16">
        <v>3.6438023303107199E-2</v>
      </c>
      <c r="W19" s="16">
        <v>0.10424582709232</v>
      </c>
      <c r="X19" s="16">
        <v>4.3346184364479401E-2</v>
      </c>
      <c r="Y19" s="16">
        <v>5.5951619110302997E-2</v>
      </c>
      <c r="Z19" s="16">
        <v>9.6549005530649004E-3</v>
      </c>
      <c r="AA19" s="16">
        <v>3.6854291382028601E-2</v>
      </c>
      <c r="AB19" s="16">
        <v>4.9259323707372599E-2</v>
      </c>
      <c r="AC19" s="16">
        <v>1.3444639791148599E-2</v>
      </c>
      <c r="AD19" s="16">
        <v>6.3277550923125994E-2</v>
      </c>
      <c r="AE19" s="16">
        <v>3.5753865826261999E-2</v>
      </c>
    </row>
    <row r="20" spans="1:31" x14ac:dyDescent="0.2">
      <c r="A20" s="13">
        <v>20</v>
      </c>
      <c r="B20" s="17" t="s">
        <v>142</v>
      </c>
      <c r="C20" s="18" t="s">
        <v>132</v>
      </c>
      <c r="D20" s="17" t="s">
        <v>74</v>
      </c>
      <c r="E20" s="17" t="s">
        <v>132</v>
      </c>
      <c r="F20" s="17" t="s">
        <v>20</v>
      </c>
      <c r="G20" s="17" t="s">
        <v>118</v>
      </c>
      <c r="H20" s="19">
        <v>0.23916983592569899</v>
      </c>
      <c r="I20" s="19">
        <v>0.22714106249038599</v>
      </c>
      <c r="J20" s="19">
        <v>0.22733516784603999</v>
      </c>
      <c r="K20" s="19">
        <v>0.60347812059820205</v>
      </c>
      <c r="L20" s="19">
        <v>0.102411530261897</v>
      </c>
      <c r="M20" s="19">
        <v>0.26552888223974302</v>
      </c>
      <c r="N20" s="19">
        <v>0.345098413165427</v>
      </c>
      <c r="O20" s="19">
        <v>0.49840241128785601</v>
      </c>
      <c r="P20" s="19">
        <v>1.83460607845056</v>
      </c>
      <c r="Q20" s="19">
        <v>2.7027325867358599E-2</v>
      </c>
      <c r="R20" s="19">
        <v>0.20229426594031799</v>
      </c>
      <c r="S20" s="19">
        <v>0.185200413530206</v>
      </c>
      <c r="T20" s="19">
        <v>0.112181793079953</v>
      </c>
      <c r="U20" s="19">
        <v>0.200383997295807</v>
      </c>
      <c r="V20" s="19">
        <v>0.172505218401549</v>
      </c>
      <c r="W20" s="19">
        <v>2.9509665719201701</v>
      </c>
      <c r="X20" s="19">
        <v>0.20786165743836699</v>
      </c>
      <c r="Y20" s="19">
        <v>0.16981603871707901</v>
      </c>
      <c r="Z20" s="19">
        <v>0.12579023305513801</v>
      </c>
      <c r="AA20" s="19">
        <v>2.97716750260031E-2</v>
      </c>
      <c r="AB20" s="19">
        <v>0.16020868738472999</v>
      </c>
      <c r="AC20" s="19">
        <v>0.17507512267171299</v>
      </c>
      <c r="AD20" s="19">
        <v>0.16547600877261501</v>
      </c>
      <c r="AE20" s="19">
        <v>0.138328498320899</v>
      </c>
    </row>
    <row r="21" spans="1:31" x14ac:dyDescent="0.2">
      <c r="A21" s="13">
        <v>21</v>
      </c>
      <c r="B21" s="14" t="s">
        <v>119</v>
      </c>
      <c r="C21" s="15" t="s">
        <v>132</v>
      </c>
      <c r="D21" s="14" t="s">
        <v>98</v>
      </c>
      <c r="E21" s="14" t="s">
        <v>132</v>
      </c>
      <c r="F21" s="14" t="s">
        <v>160</v>
      </c>
      <c r="G21" s="14" t="s">
        <v>118</v>
      </c>
      <c r="H21" s="16">
        <v>5.6727693948409999E-2</v>
      </c>
      <c r="I21" s="16">
        <v>4.9656812158142001E-2</v>
      </c>
      <c r="J21" s="16">
        <v>2.5871270838371398E-2</v>
      </c>
      <c r="K21" s="16">
        <v>3.5694074778646799E-2</v>
      </c>
      <c r="L21" s="16">
        <v>7.1138973691070306E-2</v>
      </c>
      <c r="M21" s="16">
        <v>5.5308656299664499E-2</v>
      </c>
      <c r="N21" s="16">
        <v>2.3534771124573001E-2</v>
      </c>
      <c r="O21" s="16">
        <v>5.6635930797527698E-2</v>
      </c>
      <c r="P21" s="16">
        <v>2.4143798387417901E-2</v>
      </c>
      <c r="Q21" s="16">
        <v>7.8739738720849002E-3</v>
      </c>
      <c r="R21" s="16">
        <v>6.9413935351163997E-2</v>
      </c>
      <c r="S21" s="16">
        <v>0.28056600673273702</v>
      </c>
      <c r="T21" s="16">
        <v>3.1601643670800499</v>
      </c>
      <c r="U21" s="16">
        <v>5.5966733781406895E-4</v>
      </c>
      <c r="V21" s="16">
        <v>7.4388377706879005E-2</v>
      </c>
      <c r="W21" s="16">
        <v>0.12786006139151501</v>
      </c>
      <c r="X21" s="16">
        <v>0.31666081052184503</v>
      </c>
      <c r="Y21" s="16">
        <v>0.22481764247351099</v>
      </c>
      <c r="Z21" s="16">
        <v>7.5980249655002399E-2</v>
      </c>
      <c r="AA21" s="16">
        <v>7.2250237188494396E-2</v>
      </c>
      <c r="AB21" s="16">
        <v>9.9363073245283901E-2</v>
      </c>
      <c r="AC21" s="16">
        <v>6.7437214488981503E-2</v>
      </c>
      <c r="AD21" s="16">
        <v>2.46893172337019E-2</v>
      </c>
      <c r="AE21" s="16">
        <v>5.8634600054633397E-2</v>
      </c>
    </row>
    <row r="22" spans="1:31" x14ac:dyDescent="0.2">
      <c r="A22" s="13">
        <v>22</v>
      </c>
      <c r="B22" s="17" t="s">
        <v>101</v>
      </c>
      <c r="C22" s="18" t="s">
        <v>132</v>
      </c>
      <c r="D22" s="17" t="s">
        <v>152</v>
      </c>
      <c r="E22" s="17" t="s">
        <v>132</v>
      </c>
      <c r="F22" s="17" t="s">
        <v>158</v>
      </c>
      <c r="G22" s="17" t="s">
        <v>118</v>
      </c>
      <c r="H22" s="19">
        <v>2.76935874932943E-2</v>
      </c>
      <c r="I22" s="19">
        <v>5.9480079530575998E-2</v>
      </c>
      <c r="J22" s="19">
        <v>6.4484390567084604E-2</v>
      </c>
      <c r="K22" s="19">
        <v>4.2551702576783097E-2</v>
      </c>
      <c r="L22" s="19">
        <v>7.4647236034372497E-2</v>
      </c>
      <c r="M22" s="19">
        <v>3.0063055472997102E-2</v>
      </c>
      <c r="N22" s="19">
        <v>1.45569118047303E-2</v>
      </c>
      <c r="O22" s="19">
        <v>6.8982229287784802E-2</v>
      </c>
      <c r="P22" s="19">
        <v>1.9569748406644199E-2</v>
      </c>
      <c r="Q22" s="19">
        <v>5.3738472825116297E-2</v>
      </c>
      <c r="R22" s="19">
        <v>7.0002891640897597E-2</v>
      </c>
      <c r="S22" s="19">
        <v>4.3018438720508603E-2</v>
      </c>
      <c r="T22" s="19">
        <v>0.141707770090096</v>
      </c>
      <c r="U22" s="19">
        <v>4.6713888942131299E-2</v>
      </c>
      <c r="V22" s="19">
        <v>4.4394344699017103E-2</v>
      </c>
      <c r="W22" s="19">
        <v>0.34666863721445801</v>
      </c>
      <c r="X22" s="19">
        <v>0.118622367497146</v>
      </c>
      <c r="Y22" s="19">
        <v>0.61390848610957305</v>
      </c>
      <c r="Z22" s="19">
        <v>6.5727552253604396E-2</v>
      </c>
      <c r="AA22" s="19">
        <v>2.4581343162039498E-2</v>
      </c>
      <c r="AB22" s="19">
        <v>0.20078439346483101</v>
      </c>
      <c r="AC22" s="19">
        <v>2.5513855192408001E-2</v>
      </c>
      <c r="AD22" s="19">
        <v>4.1574164481901703E-2</v>
      </c>
      <c r="AE22" s="19">
        <v>2.9060584470567499E-2</v>
      </c>
    </row>
    <row r="23" spans="1:31" x14ac:dyDescent="0.2">
      <c r="A23" s="13">
        <v>23</v>
      </c>
      <c r="B23" s="14" t="s">
        <v>16</v>
      </c>
      <c r="C23" s="15" t="s">
        <v>132</v>
      </c>
      <c r="D23" s="14" t="s">
        <v>24</v>
      </c>
      <c r="E23" s="14" t="s">
        <v>132</v>
      </c>
      <c r="F23" s="14" t="s">
        <v>30</v>
      </c>
      <c r="G23" s="14" t="s">
        <v>118</v>
      </c>
      <c r="H23" s="16">
        <v>0.17035140341621799</v>
      </c>
      <c r="I23" s="16">
        <v>0.123314712126117</v>
      </c>
      <c r="J23" s="16">
        <v>3.1121548197134499E-2</v>
      </c>
      <c r="K23" s="16">
        <v>1.74409544976125</v>
      </c>
      <c r="L23" s="16">
        <v>0.12371201410167</v>
      </c>
      <c r="M23" s="16">
        <v>0.204921888045555</v>
      </c>
      <c r="N23" s="16">
        <v>0.186233860268399</v>
      </c>
      <c r="O23" s="16">
        <v>0.14065621508965701</v>
      </c>
      <c r="P23" s="16">
        <v>0.18153500523459201</v>
      </c>
      <c r="Q23" s="16">
        <v>0.15943200767385801</v>
      </c>
      <c r="R23" s="16">
        <v>4.8432309641898798E-2</v>
      </c>
      <c r="S23" s="16">
        <v>0.26087104225441898</v>
      </c>
      <c r="T23" s="16">
        <v>2.8825731932128201E-2</v>
      </c>
      <c r="U23" s="16">
        <v>1.2737545521618399E-3</v>
      </c>
      <c r="V23" s="16">
        <v>0.20040133110025801</v>
      </c>
      <c r="W23" s="16">
        <v>0.115199565455092</v>
      </c>
      <c r="X23" s="16">
        <v>0.24023950323457299</v>
      </c>
      <c r="Y23" s="16">
        <v>1.79793560025663</v>
      </c>
      <c r="Z23" s="16">
        <v>0.16489877053428501</v>
      </c>
      <c r="AA23" s="16">
        <v>5.8412389672547103E-2</v>
      </c>
      <c r="AB23" s="16">
        <v>1.7578400275343999</v>
      </c>
      <c r="AC23" s="16">
        <v>4.87907356256665E-2</v>
      </c>
      <c r="AD23" s="16">
        <v>3.3757044549444802E-2</v>
      </c>
      <c r="AE23" s="16">
        <v>5.7693426888290003E-2</v>
      </c>
    </row>
    <row r="24" spans="1:31" x14ac:dyDescent="0.2">
      <c r="A24" s="13">
        <v>24</v>
      </c>
      <c r="B24" s="17" t="s">
        <v>150</v>
      </c>
      <c r="C24" s="18" t="s">
        <v>132</v>
      </c>
      <c r="D24" s="17" t="s">
        <v>84</v>
      </c>
      <c r="E24" s="17" t="s">
        <v>132</v>
      </c>
      <c r="F24" s="17" t="s">
        <v>133</v>
      </c>
      <c r="G24" s="17" t="s">
        <v>118</v>
      </c>
      <c r="H24" s="19">
        <v>4.1617087201443699E-2</v>
      </c>
      <c r="I24" s="19">
        <v>2.70399612945708E-2</v>
      </c>
      <c r="J24" s="19">
        <v>9.0990096167767501E-2</v>
      </c>
      <c r="K24" s="19">
        <v>2.4623776726794399E-2</v>
      </c>
      <c r="L24" s="19">
        <v>5.0879472396593198E-2</v>
      </c>
      <c r="M24" s="19">
        <v>5.6257443857223498E-2</v>
      </c>
      <c r="N24" s="19">
        <v>1.06740865818989E-2</v>
      </c>
      <c r="O24" s="19">
        <v>3.1518894530370503E-2</v>
      </c>
      <c r="P24" s="19">
        <v>1.42527798374147E-2</v>
      </c>
      <c r="Q24" s="19">
        <v>2.5662392841019999E-2</v>
      </c>
      <c r="R24" s="19">
        <v>3.2021984900241898E-2</v>
      </c>
      <c r="S24" s="19">
        <v>0.13029124011405799</v>
      </c>
      <c r="T24" s="19">
        <v>6.4659970248527099E-2</v>
      </c>
      <c r="U24" s="19">
        <v>2.78712100811754E-2</v>
      </c>
      <c r="V24" s="19">
        <v>5.4521332973473301E-2</v>
      </c>
      <c r="W24" s="19">
        <v>0.556134983912424</v>
      </c>
      <c r="X24" s="19">
        <v>0.21956359336699299</v>
      </c>
      <c r="Y24" s="19">
        <v>0.17325459799281001</v>
      </c>
      <c r="Z24" s="19">
        <v>4.60407651918485E-2</v>
      </c>
      <c r="AA24" s="19">
        <v>0.107325990369883</v>
      </c>
      <c r="AB24" s="19">
        <v>0.24570438701244501</v>
      </c>
      <c r="AC24" s="19">
        <v>5.0941992231159403E-2</v>
      </c>
      <c r="AD24" s="19">
        <v>7.1746165236581394E-2</v>
      </c>
      <c r="AE24" s="19">
        <v>8.22863878658288E-2</v>
      </c>
    </row>
    <row r="25" spans="1:31" x14ac:dyDescent="0.2">
      <c r="A25" s="13">
        <v>25</v>
      </c>
      <c r="B25" s="14" t="s">
        <v>16</v>
      </c>
      <c r="C25" s="15" t="s">
        <v>132</v>
      </c>
      <c r="D25" s="14" t="s">
        <v>100</v>
      </c>
      <c r="E25" s="14" t="s">
        <v>132</v>
      </c>
      <c r="F25" s="14" t="s">
        <v>43</v>
      </c>
      <c r="G25" s="14" t="s">
        <v>118</v>
      </c>
      <c r="H25" s="16">
        <v>0.17674202634660799</v>
      </c>
      <c r="I25" s="16">
        <v>0.12945707817760199</v>
      </c>
      <c r="J25" s="16">
        <v>3.03733543649722E-2</v>
      </c>
      <c r="K25" s="16">
        <v>3.25079337210048</v>
      </c>
      <c r="L25" s="16">
        <v>0.14483464110493499</v>
      </c>
      <c r="M25" s="16">
        <v>9.4369066536063403E-2</v>
      </c>
      <c r="N25" s="16">
        <v>8.9760444230533698E-2</v>
      </c>
      <c r="O25" s="16">
        <v>0.10209923278585201</v>
      </c>
      <c r="P25" s="16">
        <v>6.4307813892186899E-2</v>
      </c>
      <c r="Q25" s="16">
        <v>0.13439803986152199</v>
      </c>
      <c r="R25" s="16">
        <v>0.17408119950020301</v>
      </c>
      <c r="S25" s="16">
        <v>0.11220783010128201</v>
      </c>
      <c r="T25" s="16">
        <v>7.9701318761379297E-3</v>
      </c>
      <c r="U25" s="16">
        <v>2.5290656881363298E-4</v>
      </c>
      <c r="V25" s="16">
        <v>7.4939484020759506E-2</v>
      </c>
      <c r="W25" s="16">
        <v>0.16155214669618101</v>
      </c>
      <c r="X25" s="16">
        <v>0.118854003770553</v>
      </c>
      <c r="Y25" s="16">
        <v>2.0082336704409398</v>
      </c>
      <c r="Z25" s="16">
        <v>0.15153128330840099</v>
      </c>
      <c r="AA25" s="16">
        <v>6.1091559393094998E-2</v>
      </c>
      <c r="AB25" s="16">
        <v>0.108253124323378</v>
      </c>
      <c r="AC25" s="16">
        <v>0.13346728676987701</v>
      </c>
      <c r="AD25" s="16">
        <v>4.85205003388633E-2</v>
      </c>
      <c r="AE25" s="16">
        <v>8.9808289733505603E-2</v>
      </c>
    </row>
    <row r="26" spans="1:31" x14ac:dyDescent="0.2">
      <c r="A26" s="13">
        <v>26</v>
      </c>
      <c r="B26" s="17" t="s">
        <v>137</v>
      </c>
      <c r="C26" s="18" t="s">
        <v>132</v>
      </c>
      <c r="D26" s="17" t="s">
        <v>122</v>
      </c>
      <c r="E26" s="17" t="s">
        <v>132</v>
      </c>
      <c r="F26" s="17" t="s">
        <v>49</v>
      </c>
      <c r="G26" s="17" t="s">
        <v>118</v>
      </c>
      <c r="H26" s="20" t="s">
        <v>25</v>
      </c>
      <c r="I26" s="19">
        <v>5.0385113714744301E-2</v>
      </c>
      <c r="J26" s="19">
        <v>4.0006717979085497E-2</v>
      </c>
      <c r="K26" s="19">
        <v>4.5179005887362601E-2</v>
      </c>
      <c r="L26" s="19">
        <v>7.5050484366963904E-2</v>
      </c>
      <c r="M26" s="19">
        <v>4.2899396887321702E-2</v>
      </c>
      <c r="N26" s="19">
        <v>1.0918473103137901E-2</v>
      </c>
      <c r="O26" s="19">
        <v>1.2126880835266699E-2</v>
      </c>
      <c r="P26" s="19">
        <v>2.1727436982855401E-2</v>
      </c>
      <c r="Q26" s="19">
        <v>4.8577460724894703E-2</v>
      </c>
      <c r="R26" s="19">
        <v>8.2754673160684494E-2</v>
      </c>
      <c r="S26" s="19">
        <v>0.112011512311622</v>
      </c>
      <c r="T26" s="19">
        <v>1.7698373581897599E-2</v>
      </c>
      <c r="U26" s="19">
        <v>0.155527830232354</v>
      </c>
      <c r="V26" s="19">
        <v>4.3233146625303302E-2</v>
      </c>
      <c r="W26" s="19">
        <v>0.12256484100662</v>
      </c>
      <c r="X26" s="19">
        <v>0.223390194472426</v>
      </c>
      <c r="Y26" s="19">
        <v>8.9584249155361104E-2</v>
      </c>
      <c r="Z26" s="19">
        <v>5.56720775024694E-2</v>
      </c>
      <c r="AA26" s="19">
        <v>3.4487851275605698E-2</v>
      </c>
      <c r="AB26" s="19">
        <v>0.13939804093365399</v>
      </c>
      <c r="AC26" s="19">
        <v>7.9079494881012E-2</v>
      </c>
      <c r="AD26" s="19">
        <v>5.2569625471759598E-2</v>
      </c>
      <c r="AE26" s="19">
        <v>2.2951370094585401E-2</v>
      </c>
    </row>
    <row r="27" spans="1:31" x14ac:dyDescent="0.2">
      <c r="A27" s="13">
        <v>27</v>
      </c>
      <c r="B27" s="14" t="s">
        <v>7</v>
      </c>
      <c r="C27" s="15" t="s">
        <v>132</v>
      </c>
      <c r="D27" s="14" t="s">
        <v>110</v>
      </c>
      <c r="E27" s="14" t="s">
        <v>132</v>
      </c>
      <c r="F27" s="14" t="s">
        <v>91</v>
      </c>
      <c r="G27" s="14" t="s">
        <v>118</v>
      </c>
      <c r="H27" s="16">
        <v>3.66197252324022E-2</v>
      </c>
      <c r="I27" s="16">
        <v>7.2262172024024102E-2</v>
      </c>
      <c r="J27" s="16">
        <v>4.4261862639173699E-2</v>
      </c>
      <c r="K27" s="16">
        <v>3.49831146242124E-2</v>
      </c>
      <c r="L27" s="16">
        <v>4.3511105868572403E-2</v>
      </c>
      <c r="M27" s="16">
        <v>5.8730098258860199E-2</v>
      </c>
      <c r="N27" s="16">
        <v>0.182834497447383</v>
      </c>
      <c r="O27" s="16">
        <v>7.1943200936505997E-2</v>
      </c>
      <c r="P27" s="16">
        <v>0.16704201776091401</v>
      </c>
      <c r="Q27" s="16">
        <v>5.8870207486437599E-2</v>
      </c>
      <c r="R27" s="16">
        <v>8.1409681378869902E-3</v>
      </c>
      <c r="S27" s="16">
        <v>0.87569629617728395</v>
      </c>
      <c r="T27" s="16">
        <v>5.6072165190178699E-2</v>
      </c>
      <c r="U27" s="16">
        <v>1.88016004941143E-4</v>
      </c>
      <c r="V27" s="16">
        <v>0.12867201085955501</v>
      </c>
      <c r="W27" s="16">
        <v>0.285246599974398</v>
      </c>
      <c r="X27" s="16">
        <v>0.17736741505152301</v>
      </c>
      <c r="Y27" s="16">
        <v>0.64580361248922602</v>
      </c>
      <c r="Z27" s="16">
        <v>5.9770472229615797E-2</v>
      </c>
      <c r="AA27" s="16">
        <v>8.5607191225692006E-2</v>
      </c>
      <c r="AB27" s="16">
        <v>0.147075234749237</v>
      </c>
      <c r="AC27" s="16">
        <v>9.2362003140047402E-2</v>
      </c>
      <c r="AD27" s="16">
        <v>3.3962895158823003E-2</v>
      </c>
      <c r="AE27" s="16">
        <v>7.0469546862927807E-2</v>
      </c>
    </row>
    <row r="28" spans="1:31" x14ac:dyDescent="0.2">
      <c r="A28" s="13">
        <v>28</v>
      </c>
      <c r="B28" s="17" t="s">
        <v>7</v>
      </c>
      <c r="C28" s="18" t="s">
        <v>132</v>
      </c>
      <c r="D28" s="17" t="s">
        <v>34</v>
      </c>
      <c r="E28" s="17" t="s">
        <v>132</v>
      </c>
      <c r="F28" s="17" t="s">
        <v>9</v>
      </c>
      <c r="G28" s="17" t="s">
        <v>118</v>
      </c>
      <c r="H28" s="19">
        <v>3.4278436330740999E-2</v>
      </c>
      <c r="I28" s="19">
        <v>0.11751398113259701</v>
      </c>
      <c r="J28" s="19">
        <v>4.7881733400497402E-2</v>
      </c>
      <c r="K28" s="19">
        <v>4.0427281583617997E-2</v>
      </c>
      <c r="L28" s="19">
        <v>0.139453469132579</v>
      </c>
      <c r="M28" s="19">
        <v>2.5499737936638799E-2</v>
      </c>
      <c r="N28" s="19">
        <v>4.42922573381897E-2</v>
      </c>
      <c r="O28" s="19">
        <v>5.3973238243409201E-3</v>
      </c>
      <c r="P28" s="19">
        <v>5.1963936351036598E-2</v>
      </c>
      <c r="Q28" s="19">
        <v>2.2657902838143701E-2</v>
      </c>
      <c r="R28" s="19">
        <v>9.6506239404583194E-2</v>
      </c>
      <c r="S28" s="19">
        <v>6.5762670727131198E-2</v>
      </c>
      <c r="T28" s="19">
        <v>3.3654508172018899E-2</v>
      </c>
      <c r="U28" s="19">
        <v>9.4380779041112204E-4</v>
      </c>
      <c r="V28" s="19">
        <v>6.17395956693335E-2</v>
      </c>
      <c r="W28" s="19">
        <v>1.55581263088949</v>
      </c>
      <c r="X28" s="19">
        <v>5.57683348791779E-2</v>
      </c>
      <c r="Y28" s="19">
        <v>1.60830523340178</v>
      </c>
      <c r="Z28" s="19">
        <v>0.106548070953319</v>
      </c>
      <c r="AA28" s="19">
        <v>0.109682252554976</v>
      </c>
      <c r="AB28" s="19">
        <v>0.31579959703938698</v>
      </c>
      <c r="AC28" s="19">
        <v>1.30794131204259E-2</v>
      </c>
      <c r="AD28" s="19">
        <v>0.14050453374365901</v>
      </c>
      <c r="AE28" s="19">
        <v>6.5566717521661294E-2</v>
      </c>
    </row>
    <row r="29" spans="1:31" x14ac:dyDescent="0.2">
      <c r="A29" s="13">
        <v>29</v>
      </c>
      <c r="B29" s="14" t="s">
        <v>145</v>
      </c>
      <c r="C29" s="15" t="s">
        <v>132</v>
      </c>
      <c r="D29" s="14" t="s">
        <v>80</v>
      </c>
      <c r="E29" s="14" t="s">
        <v>132</v>
      </c>
      <c r="F29" s="14" t="s">
        <v>108</v>
      </c>
      <c r="G29" s="14" t="s">
        <v>118</v>
      </c>
      <c r="H29" s="16">
        <v>5.0527364378756101E-2</v>
      </c>
      <c r="I29" s="16">
        <v>1.9422863253689599E-2</v>
      </c>
      <c r="J29" s="16">
        <v>5.7663341347700299E-2</v>
      </c>
      <c r="K29" s="16">
        <v>2.2320662676963299E-2</v>
      </c>
      <c r="L29" s="16">
        <v>6.3578385729444395E-2</v>
      </c>
      <c r="M29" s="16">
        <v>5.6869179059952403E-2</v>
      </c>
      <c r="N29" s="16">
        <v>2.83929183869433E-2</v>
      </c>
      <c r="O29" s="16">
        <v>1.3534083692346099E-2</v>
      </c>
      <c r="P29" s="16">
        <v>2.0738302697764801E-2</v>
      </c>
      <c r="Q29" s="16">
        <v>6.8642862822161102E-2</v>
      </c>
      <c r="R29" s="16">
        <v>3.1665772056297899E-2</v>
      </c>
      <c r="S29" s="16">
        <v>0.10274496867230901</v>
      </c>
      <c r="T29" s="16">
        <v>3.7885279704566399E-2</v>
      </c>
      <c r="U29" s="16">
        <v>8.5651162794210894E-2</v>
      </c>
      <c r="V29" s="16">
        <v>7.9540915646250696E-2</v>
      </c>
      <c r="W29" s="16">
        <v>6.2996664504025093E-2</v>
      </c>
      <c r="X29" s="16">
        <v>0.10830685011444301</v>
      </c>
      <c r="Y29" s="16">
        <v>3.1843283409150297E-2</v>
      </c>
      <c r="Z29" s="16">
        <v>5.0125517288167699E-2</v>
      </c>
      <c r="AA29" s="16">
        <v>7.3105584592100897E-2</v>
      </c>
      <c r="AB29" s="16">
        <v>5.0017660318755701E-2</v>
      </c>
      <c r="AC29" s="16">
        <v>4.6387321429345298E-2</v>
      </c>
      <c r="AD29" s="16">
        <v>2.0227831656967999E-2</v>
      </c>
      <c r="AE29" s="16">
        <v>4.9021045710669703E-2</v>
      </c>
    </row>
    <row r="30" spans="1:31" x14ac:dyDescent="0.2">
      <c r="A30" s="13">
        <v>30</v>
      </c>
      <c r="B30" s="17" t="s">
        <v>71</v>
      </c>
      <c r="C30" s="18" t="s">
        <v>132</v>
      </c>
      <c r="D30" s="17" t="s">
        <v>115</v>
      </c>
      <c r="E30" s="17" t="s">
        <v>132</v>
      </c>
      <c r="F30" s="17" t="s">
        <v>68</v>
      </c>
      <c r="G30" s="17" t="s">
        <v>118</v>
      </c>
      <c r="H30" s="19">
        <v>0.28294653528380997</v>
      </c>
      <c r="I30" s="19">
        <v>0.10475724160198301</v>
      </c>
      <c r="J30" s="19">
        <v>7.9438300742957393E-2</v>
      </c>
      <c r="K30" s="19">
        <v>3.7832348436782702E-2</v>
      </c>
      <c r="L30" s="19">
        <v>0.25065796219650099</v>
      </c>
      <c r="M30" s="19">
        <v>0.331760103785254</v>
      </c>
      <c r="N30" s="19">
        <v>0.27014520448489099</v>
      </c>
      <c r="O30" s="19">
        <v>0.179632210374818</v>
      </c>
      <c r="P30" s="19">
        <v>0.409413792717085</v>
      </c>
      <c r="Q30" s="19">
        <v>0.320661874394152</v>
      </c>
      <c r="R30" s="19">
        <v>0.100113053948202</v>
      </c>
      <c r="S30" s="19">
        <v>0.31428300163634898</v>
      </c>
      <c r="T30" s="19">
        <v>0.136706708686892</v>
      </c>
      <c r="U30" s="19">
        <v>1.4867619551040601</v>
      </c>
      <c r="V30" s="19">
        <v>0.152653144698427</v>
      </c>
      <c r="W30" s="19">
        <v>0.24015171332876201</v>
      </c>
      <c r="X30" s="19">
        <v>0.19259734848342</v>
      </c>
      <c r="Y30" s="19">
        <v>0.155998405808289</v>
      </c>
      <c r="Z30" s="19">
        <v>0.12814347155773101</v>
      </c>
      <c r="AA30" s="19">
        <v>1.9642443379588301E-2</v>
      </c>
      <c r="AB30" s="19">
        <v>0.181863320990999</v>
      </c>
      <c r="AC30" s="19">
        <v>0.17047105168788201</v>
      </c>
      <c r="AD30" s="19">
        <v>0.116768714143635</v>
      </c>
      <c r="AE30" s="19">
        <v>0.118062420290194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E30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94</v>
      </c>
      <c r="I1" s="1" t="s">
        <v>31</v>
      </c>
      <c r="J1" s="1" t="s">
        <v>99</v>
      </c>
      <c r="K1" s="1" t="s">
        <v>59</v>
      </c>
      <c r="L1" s="1" t="s">
        <v>0</v>
      </c>
      <c r="M1" s="1" t="s">
        <v>35</v>
      </c>
      <c r="N1" s="2" t="s">
        <v>62</v>
      </c>
      <c r="O1" s="1" t="s">
        <v>159</v>
      </c>
      <c r="P1" s="2" t="s">
        <v>23</v>
      </c>
      <c r="Q1" s="1" t="s">
        <v>121</v>
      </c>
      <c r="R1" s="1" t="s">
        <v>114</v>
      </c>
      <c r="S1" s="1" t="s">
        <v>57</v>
      </c>
      <c r="T1" s="1" t="s">
        <v>11</v>
      </c>
      <c r="U1" s="1" t="s">
        <v>63</v>
      </c>
      <c r="V1" s="1" t="s">
        <v>151</v>
      </c>
      <c r="W1" s="1" t="s">
        <v>161</v>
      </c>
      <c r="X1" s="1" t="s">
        <v>50</v>
      </c>
      <c r="Y1" s="1" t="s">
        <v>139</v>
      </c>
      <c r="Z1" s="1" t="s">
        <v>127</v>
      </c>
      <c r="AA1" s="1" t="s">
        <v>97</v>
      </c>
      <c r="AB1" s="1" t="s">
        <v>38</v>
      </c>
      <c r="AC1" s="1" t="s">
        <v>61</v>
      </c>
      <c r="AD1" s="1" t="s">
        <v>154</v>
      </c>
      <c r="AE1" s="1" t="s">
        <v>141</v>
      </c>
    </row>
    <row r="2" spans="1:31" x14ac:dyDescent="0.2">
      <c r="A2" s="13">
        <v>1</v>
      </c>
      <c r="B2" s="14" t="s">
        <v>16</v>
      </c>
      <c r="C2" s="15" t="s">
        <v>132</v>
      </c>
      <c r="D2" s="14" t="s">
        <v>6</v>
      </c>
      <c r="E2" s="14" t="s">
        <v>132</v>
      </c>
      <c r="F2" s="14" t="s">
        <v>22</v>
      </c>
      <c r="G2" s="14" t="s">
        <v>118</v>
      </c>
      <c r="H2" s="24"/>
      <c r="I2" s="16">
        <v>3.4593199339216802E-3</v>
      </c>
      <c r="J2" s="16">
        <v>6.3168629937147697E-2</v>
      </c>
      <c r="K2" s="24"/>
      <c r="L2" s="24"/>
      <c r="M2" s="24"/>
      <c r="N2" s="24"/>
      <c r="O2" s="24"/>
      <c r="P2" s="24"/>
      <c r="Q2" s="24"/>
      <c r="R2" s="16">
        <v>9.4946820539357404E-3</v>
      </c>
      <c r="S2" s="24"/>
      <c r="T2" s="16">
        <v>1.03345307189794E-2</v>
      </c>
      <c r="U2" s="16">
        <v>1.4605707351829901E-4</v>
      </c>
      <c r="V2" s="16">
        <v>5.6804387010400602E-2</v>
      </c>
      <c r="W2" s="24"/>
      <c r="X2" s="24"/>
      <c r="Y2" s="24"/>
      <c r="Z2" s="24"/>
      <c r="AA2" s="24"/>
      <c r="AB2" s="24"/>
      <c r="AC2" s="24"/>
      <c r="AD2" s="24"/>
      <c r="AE2" s="16">
        <v>8.2544441240878799E-2</v>
      </c>
    </row>
    <row r="3" spans="1:31" x14ac:dyDescent="0.2">
      <c r="A3" s="13">
        <v>2</v>
      </c>
      <c r="B3" s="17" t="s">
        <v>16</v>
      </c>
      <c r="C3" s="18" t="s">
        <v>132</v>
      </c>
      <c r="D3" s="17" t="s">
        <v>85</v>
      </c>
      <c r="E3" s="17" t="s">
        <v>132</v>
      </c>
      <c r="F3" s="17" t="s">
        <v>32</v>
      </c>
      <c r="G3" s="17" t="s">
        <v>118</v>
      </c>
      <c r="H3" s="20"/>
      <c r="I3" s="19">
        <v>6.1802352549922999E-3</v>
      </c>
      <c r="J3" s="19">
        <v>3.2784240502629798E-3</v>
      </c>
      <c r="K3" s="20"/>
      <c r="L3" s="20"/>
      <c r="M3" s="20"/>
      <c r="N3" s="20"/>
      <c r="O3" s="20"/>
      <c r="P3" s="20"/>
      <c r="Q3" s="20"/>
      <c r="R3" s="19">
        <v>2.5333168602916799E-2</v>
      </c>
      <c r="S3" s="20"/>
      <c r="T3" s="19">
        <v>8.8202206530911906E-3</v>
      </c>
      <c r="U3" s="19">
        <v>1.24002365122545E-4</v>
      </c>
      <c r="V3" s="19">
        <v>3.0725208546364999E-2</v>
      </c>
      <c r="W3" s="20"/>
      <c r="X3" s="20"/>
      <c r="Y3" s="20"/>
      <c r="Z3" s="20"/>
      <c r="AA3" s="20"/>
      <c r="AB3" s="20"/>
      <c r="AC3" s="20"/>
      <c r="AD3" s="20"/>
      <c r="AE3" s="19">
        <v>1.9544277746394001E-2</v>
      </c>
    </row>
    <row r="4" spans="1:31" x14ac:dyDescent="0.2">
      <c r="A4" s="13">
        <v>3</v>
      </c>
      <c r="B4" s="14" t="s">
        <v>16</v>
      </c>
      <c r="C4" s="15" t="s">
        <v>132</v>
      </c>
      <c r="D4" s="14" t="s">
        <v>5</v>
      </c>
      <c r="E4" s="14" t="s">
        <v>132</v>
      </c>
      <c r="F4" s="14" t="s">
        <v>77</v>
      </c>
      <c r="G4" s="14" t="s">
        <v>118</v>
      </c>
      <c r="H4" s="24"/>
      <c r="I4" s="16">
        <v>4.3427726254605401E-3</v>
      </c>
      <c r="J4" s="16">
        <v>1.3022518962132299E-2</v>
      </c>
      <c r="K4" s="24"/>
      <c r="L4" s="24"/>
      <c r="M4" s="24"/>
      <c r="N4" s="24"/>
      <c r="O4" s="24"/>
      <c r="P4" s="24"/>
      <c r="Q4" s="24"/>
      <c r="R4" s="16">
        <v>2.6797722814979101E-2</v>
      </c>
      <c r="S4" s="24"/>
      <c r="T4" s="16">
        <v>2.36156474777376E-2</v>
      </c>
      <c r="U4" s="16">
        <v>1.8216124879608101E-4</v>
      </c>
      <c r="V4" s="16">
        <v>6.5671447542626493E-2</v>
      </c>
      <c r="W4" s="24"/>
      <c r="X4" s="24"/>
      <c r="Y4" s="24"/>
      <c r="Z4" s="24"/>
      <c r="AA4" s="24"/>
      <c r="AB4" s="24"/>
      <c r="AC4" s="24"/>
      <c r="AD4" s="24"/>
      <c r="AE4" s="16">
        <v>3.2542613172133701E-2</v>
      </c>
    </row>
    <row r="5" spans="1:31" x14ac:dyDescent="0.2">
      <c r="A5" s="13">
        <v>4</v>
      </c>
      <c r="B5" s="17" t="s">
        <v>16</v>
      </c>
      <c r="C5" s="18" t="s">
        <v>132</v>
      </c>
      <c r="D5" s="17" t="s">
        <v>87</v>
      </c>
      <c r="E5" s="17" t="s">
        <v>132</v>
      </c>
      <c r="F5" s="17" t="s">
        <v>111</v>
      </c>
      <c r="G5" s="17" t="s">
        <v>118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x14ac:dyDescent="0.2">
      <c r="A6" s="13">
        <v>5</v>
      </c>
      <c r="B6" s="14" t="s">
        <v>37</v>
      </c>
      <c r="C6" s="15" t="s">
        <v>132</v>
      </c>
      <c r="D6" s="14" t="s">
        <v>136</v>
      </c>
      <c r="E6" s="14" t="s">
        <v>132</v>
      </c>
      <c r="F6" s="14" t="s">
        <v>89</v>
      </c>
      <c r="G6" s="14" t="s">
        <v>118</v>
      </c>
      <c r="H6" s="16">
        <v>8.1194449489388199E-2</v>
      </c>
      <c r="I6" s="16">
        <v>8.6420553240980306E-3</v>
      </c>
      <c r="J6" s="16">
        <v>6.7981649110117198E-2</v>
      </c>
      <c r="K6" s="16">
        <v>0.581079064262502</v>
      </c>
      <c r="L6" s="16">
        <v>7.6618926400159298E-2</v>
      </c>
      <c r="M6" s="16">
        <v>0.16229942603682601</v>
      </c>
      <c r="N6" s="16">
        <v>0.29174868871661602</v>
      </c>
      <c r="O6" s="16">
        <v>1.6184350989032099E-2</v>
      </c>
      <c r="P6" s="16">
        <v>4.3385402203953302E-2</v>
      </c>
      <c r="Q6" s="16">
        <v>5.4194249869741397E-2</v>
      </c>
      <c r="R6" s="16">
        <v>2.15860089101974E-2</v>
      </c>
      <c r="S6" s="16">
        <v>8.2689749812947504</v>
      </c>
      <c r="T6" s="16">
        <v>4.4797074528200802E-2</v>
      </c>
      <c r="U6" s="16">
        <v>0.178145300676566</v>
      </c>
      <c r="V6" s="16">
        <v>8.4575164018876006E-2</v>
      </c>
      <c r="W6" s="16">
        <v>1.7656128449651299E-2</v>
      </c>
      <c r="X6" s="16">
        <v>1.2643504538329899</v>
      </c>
      <c r="Y6" s="16">
        <v>5.3436172206201497E-2</v>
      </c>
      <c r="Z6" s="16">
        <v>7.2286269906661496E-2</v>
      </c>
      <c r="AA6" s="16">
        <v>8.1007591076522806E-2</v>
      </c>
      <c r="AB6" s="16">
        <v>3.4734103910747702E-2</v>
      </c>
      <c r="AC6" s="16">
        <v>6.8762612765378997E-2</v>
      </c>
      <c r="AD6" s="16">
        <v>2.29504879099631E-2</v>
      </c>
      <c r="AE6" s="16">
        <v>5.4140243151774799E-2</v>
      </c>
    </row>
    <row r="7" spans="1:31" x14ac:dyDescent="0.2">
      <c r="A7" s="13">
        <v>6</v>
      </c>
      <c r="B7" s="17" t="s">
        <v>52</v>
      </c>
      <c r="C7" s="18" t="s">
        <v>132</v>
      </c>
      <c r="D7" s="17" t="s">
        <v>86</v>
      </c>
      <c r="E7" s="17" t="s">
        <v>132</v>
      </c>
      <c r="F7" s="17" t="s">
        <v>113</v>
      </c>
      <c r="G7" s="17" t="s">
        <v>118</v>
      </c>
      <c r="H7" s="19">
        <v>2.4986642404701599E-2</v>
      </c>
      <c r="I7" s="19">
        <v>7.5306076738482206E-2</v>
      </c>
      <c r="J7" s="19">
        <v>7.0544688607511896E-2</v>
      </c>
      <c r="K7" s="19">
        <v>0.24030991461401999</v>
      </c>
      <c r="L7" s="19">
        <v>6.7289427623548101E-2</v>
      </c>
      <c r="M7" s="19">
        <v>3.1482979379847099E-2</v>
      </c>
      <c r="N7" s="19">
        <v>8.7322253807529907E-2</v>
      </c>
      <c r="O7" s="19">
        <v>0.11041438432228699</v>
      </c>
      <c r="P7" s="19">
        <v>2.4239376223131801E-2</v>
      </c>
      <c r="Q7" s="19">
        <v>5.0047732747019499E-2</v>
      </c>
      <c r="R7" s="19">
        <v>8.00610958031482E-2</v>
      </c>
      <c r="S7" s="19">
        <v>0.66788226346832902</v>
      </c>
      <c r="T7" s="19">
        <v>3.0558272806253901E-2</v>
      </c>
      <c r="U7" s="19">
        <v>9.8442808223250397E-2</v>
      </c>
      <c r="V7" s="19">
        <v>3.5618332890575997E-2</v>
      </c>
      <c r="W7" s="19">
        <v>0.119743108462665</v>
      </c>
      <c r="X7" s="19">
        <v>0.153329425737776</v>
      </c>
      <c r="Y7" s="19">
        <v>5.14881263146428E-2</v>
      </c>
      <c r="Z7" s="19">
        <v>3.3412944673409502E-2</v>
      </c>
      <c r="AA7" s="19">
        <v>5.2525216774563899E-2</v>
      </c>
      <c r="AB7" s="19">
        <v>4.0894288712527802E-2</v>
      </c>
      <c r="AC7" s="19">
        <v>2.85957415136322E-2</v>
      </c>
      <c r="AD7" s="19">
        <v>4.7727359732614598E-2</v>
      </c>
      <c r="AE7" s="19">
        <v>2.9114718932929599E-2</v>
      </c>
    </row>
    <row r="8" spans="1:31" x14ac:dyDescent="0.2">
      <c r="A8" s="13">
        <v>7</v>
      </c>
      <c r="B8" s="14" t="s">
        <v>41</v>
      </c>
      <c r="C8" s="15" t="s">
        <v>132</v>
      </c>
      <c r="D8" s="14" t="s">
        <v>116</v>
      </c>
      <c r="E8" s="14" t="s">
        <v>132</v>
      </c>
      <c r="F8" s="14" t="s">
        <v>144</v>
      </c>
      <c r="G8" s="14" t="s">
        <v>118</v>
      </c>
      <c r="H8" s="16">
        <v>0.154604788204939</v>
      </c>
      <c r="I8" s="16">
        <v>3.7687064104768901E-2</v>
      </c>
      <c r="J8" s="16">
        <v>4.3072801826498801E-2</v>
      </c>
      <c r="K8" s="16">
        <v>1.5944552059638999E-2</v>
      </c>
      <c r="L8" s="16">
        <v>1.63491630121789E-2</v>
      </c>
      <c r="M8" s="16">
        <v>7.8925989151324802E-2</v>
      </c>
      <c r="N8" s="16">
        <v>5.7996584212199297E-2</v>
      </c>
      <c r="O8" s="16">
        <v>5.1877229212734903E-2</v>
      </c>
      <c r="P8" s="16">
        <v>3.2129116782204398E-2</v>
      </c>
      <c r="Q8" s="16">
        <v>3.57360335491482E-2</v>
      </c>
      <c r="R8" s="16">
        <v>4.7310286963911E-2</v>
      </c>
      <c r="S8" s="16">
        <v>0.17927511070284499</v>
      </c>
      <c r="T8" s="16">
        <v>6.60205107787772E-2</v>
      </c>
      <c r="U8" s="16">
        <v>4.7157780209348597E-2</v>
      </c>
      <c r="V8" s="16">
        <v>0.111476787868938</v>
      </c>
      <c r="W8" s="16">
        <v>3.73700641312876E-2</v>
      </c>
      <c r="X8" s="16">
        <v>0.131511271250877</v>
      </c>
      <c r="Y8" s="16">
        <v>7.7119712556492706E-2</v>
      </c>
      <c r="Z8" s="16">
        <v>0.15264106704362099</v>
      </c>
      <c r="AA8" s="16">
        <v>4.5722291918202103E-2</v>
      </c>
      <c r="AB8" s="16">
        <v>4.9516209234859103E-2</v>
      </c>
      <c r="AC8" s="16">
        <v>6.6811649380374205E-2</v>
      </c>
      <c r="AD8" s="16">
        <v>3.9644482394110198E-2</v>
      </c>
      <c r="AE8" s="16">
        <v>3.2876300733222598E-2</v>
      </c>
    </row>
    <row r="9" spans="1:31" x14ac:dyDescent="0.2">
      <c r="A9" s="13">
        <v>8</v>
      </c>
      <c r="B9" s="17" t="s">
        <v>105</v>
      </c>
      <c r="C9" s="18" t="s">
        <v>132</v>
      </c>
      <c r="D9" s="17" t="s">
        <v>157</v>
      </c>
      <c r="E9" s="17" t="s">
        <v>132</v>
      </c>
      <c r="F9" s="17" t="s">
        <v>90</v>
      </c>
      <c r="G9" s="17" t="s">
        <v>118</v>
      </c>
      <c r="H9" s="19">
        <v>4.0366377918722302E-2</v>
      </c>
      <c r="I9" s="19">
        <v>5.6669138743191703E-2</v>
      </c>
      <c r="J9" s="19">
        <v>2.7837156223706201E-2</v>
      </c>
      <c r="K9" s="19">
        <v>1.74096102593841E-2</v>
      </c>
      <c r="L9" s="19">
        <v>3.0691346862283399E-2</v>
      </c>
      <c r="M9" s="19">
        <v>5.1158046312251702E-2</v>
      </c>
      <c r="N9" s="19">
        <v>3.89023862251337E-2</v>
      </c>
      <c r="O9" s="19">
        <v>7.2654018344888799E-2</v>
      </c>
      <c r="P9" s="19">
        <v>1.3894165831250201E-2</v>
      </c>
      <c r="Q9" s="19">
        <v>3.3110470007498102E-2</v>
      </c>
      <c r="R9" s="19">
        <v>8.3095692572464103E-2</v>
      </c>
      <c r="S9" s="19">
        <v>3.8935409768413601E-2</v>
      </c>
      <c r="T9" s="19">
        <v>7.4403584615499493E-2</v>
      </c>
      <c r="U9" s="19">
        <v>4.0221266777562499E-2</v>
      </c>
      <c r="V9" s="19">
        <v>8.89718047778702E-2</v>
      </c>
      <c r="W9" s="19">
        <v>6.9494858424474296E-2</v>
      </c>
      <c r="X9" s="19">
        <v>4.7338805863052003E-2</v>
      </c>
      <c r="Y9" s="19">
        <v>7.3105091126581104E-2</v>
      </c>
      <c r="Z9" s="19">
        <v>8.3392725073747606E-2</v>
      </c>
      <c r="AA9" s="19">
        <v>2.3846295556281101E-2</v>
      </c>
      <c r="AB9" s="19">
        <v>3.0400286471662499E-2</v>
      </c>
      <c r="AC9" s="19">
        <v>5.0078885104742697E-2</v>
      </c>
      <c r="AD9" s="19">
        <v>5.5370768689508403E-2</v>
      </c>
      <c r="AE9" s="19">
        <v>1.9605686289064998E-2</v>
      </c>
    </row>
    <row r="10" spans="1:31" x14ac:dyDescent="0.2">
      <c r="A10" s="13">
        <v>9</v>
      </c>
      <c r="B10" s="14" t="s">
        <v>3</v>
      </c>
      <c r="C10" s="15" t="s">
        <v>132</v>
      </c>
      <c r="D10" s="14" t="s">
        <v>72</v>
      </c>
      <c r="E10" s="14" t="s">
        <v>132</v>
      </c>
      <c r="F10" s="14" t="s">
        <v>109</v>
      </c>
      <c r="G10" s="14" t="s">
        <v>118</v>
      </c>
      <c r="H10" s="16">
        <v>1.36702731463689E-2</v>
      </c>
      <c r="I10" s="16">
        <v>6.1716428494356601E-2</v>
      </c>
      <c r="J10" s="16">
        <v>3.1031338446398299E-2</v>
      </c>
      <c r="K10" s="16">
        <v>3.1795117634067199E-2</v>
      </c>
      <c r="L10" s="16">
        <v>6.2678495358220607E-2</v>
      </c>
      <c r="M10" s="16">
        <v>3.5750513714527997E-2</v>
      </c>
      <c r="N10" s="16">
        <v>1.78987418905566E-2</v>
      </c>
      <c r="O10" s="16">
        <v>4.5501804352356297E-2</v>
      </c>
      <c r="P10" s="16">
        <v>3.2666129089593703E-2</v>
      </c>
      <c r="Q10" s="16">
        <v>5.7218869572765202E-2</v>
      </c>
      <c r="R10" s="16">
        <v>7.8819966280798903E-2</v>
      </c>
      <c r="S10" s="16">
        <v>4.7163761274038603E-2</v>
      </c>
      <c r="T10" s="16">
        <v>3.3888836545599203E-2</v>
      </c>
      <c r="U10" s="16">
        <v>5.8642362039921299E-2</v>
      </c>
      <c r="V10" s="16">
        <v>3.8923797779962799E-2</v>
      </c>
      <c r="W10" s="16">
        <v>8.4943477700760703E-2</v>
      </c>
      <c r="X10" s="16">
        <v>3.5285557240016301E-2</v>
      </c>
      <c r="Y10" s="16">
        <v>7.4740922579927593E-2</v>
      </c>
      <c r="Z10" s="16">
        <v>4.8576253012880002E-2</v>
      </c>
      <c r="AA10" s="16">
        <v>4.4743501373965398E-2</v>
      </c>
      <c r="AB10" s="16">
        <v>4.1066938444330098E-2</v>
      </c>
      <c r="AC10" s="16">
        <v>1.9309233939835201E-2</v>
      </c>
      <c r="AD10" s="16">
        <v>6.4316454038282997E-2</v>
      </c>
      <c r="AE10" s="16">
        <v>1.8761759502867799E-2</v>
      </c>
    </row>
    <row r="11" spans="1:31" x14ac:dyDescent="0.2">
      <c r="A11" s="13">
        <v>10</v>
      </c>
      <c r="B11" s="17" t="s">
        <v>88</v>
      </c>
      <c r="C11" s="18" t="s">
        <v>132</v>
      </c>
      <c r="D11" s="17" t="s">
        <v>4</v>
      </c>
      <c r="E11" s="17" t="s">
        <v>132</v>
      </c>
      <c r="F11" s="17" t="s">
        <v>29</v>
      </c>
      <c r="G11" s="17" t="s">
        <v>118</v>
      </c>
      <c r="H11" s="19">
        <v>4.5091704731223897E-2</v>
      </c>
      <c r="I11" s="19">
        <v>2.2486705444082499E-2</v>
      </c>
      <c r="J11" s="19">
        <v>6.0569288697800101E-2</v>
      </c>
      <c r="K11" s="19">
        <v>2.9692596878402099E-2</v>
      </c>
      <c r="L11" s="19">
        <v>4.4765657246503901E-2</v>
      </c>
      <c r="M11" s="19">
        <v>5.74848311376146E-2</v>
      </c>
      <c r="N11" s="19">
        <v>1.0834287550703099E-2</v>
      </c>
      <c r="O11" s="19">
        <v>2.7235362282774501E-2</v>
      </c>
      <c r="P11" s="19">
        <v>1.7455186884588102E-2</v>
      </c>
      <c r="Q11" s="19">
        <v>4.0344287921852497E-2</v>
      </c>
      <c r="R11" s="19">
        <v>1.7436079415186399E-2</v>
      </c>
      <c r="S11" s="19">
        <v>8.0527386617688504E-2</v>
      </c>
      <c r="T11" s="19">
        <v>2.3247539496522002E-2</v>
      </c>
      <c r="U11" s="19">
        <v>5.7703135279403198E-2</v>
      </c>
      <c r="V11" s="19">
        <v>6.2354956660715999E-2</v>
      </c>
      <c r="W11" s="19">
        <v>2.11525686540107E-2</v>
      </c>
      <c r="X11" s="19">
        <v>7.9237527611656894E-2</v>
      </c>
      <c r="Y11" s="19">
        <v>2.8497588414630098E-2</v>
      </c>
      <c r="Z11" s="19">
        <v>5.3820063148000703E-2</v>
      </c>
      <c r="AA11" s="19">
        <v>9.5687002440812893E-2</v>
      </c>
      <c r="AB11" s="19">
        <v>3.9303779540298997E-2</v>
      </c>
      <c r="AC11" s="19">
        <v>4.3856361056186802E-2</v>
      </c>
      <c r="AD11" s="19">
        <v>1.9826019198722601E-2</v>
      </c>
      <c r="AE11" s="19">
        <v>5.93066288777623E-2</v>
      </c>
    </row>
    <row r="12" spans="1:31" x14ac:dyDescent="0.2">
      <c r="A12" s="13">
        <v>12</v>
      </c>
      <c r="B12" s="17" t="s">
        <v>56</v>
      </c>
      <c r="C12" s="18" t="s">
        <v>132</v>
      </c>
      <c r="D12" s="17" t="s">
        <v>104</v>
      </c>
      <c r="E12" s="17" t="s">
        <v>132</v>
      </c>
      <c r="F12" s="17" t="s">
        <v>147</v>
      </c>
      <c r="G12" s="17" t="s">
        <v>118</v>
      </c>
      <c r="H12" s="19">
        <v>8.0374398804210601E-2</v>
      </c>
      <c r="I12" s="19">
        <v>2.1152228839763799E-2</v>
      </c>
      <c r="J12" s="19">
        <v>4.0649097854140698E-2</v>
      </c>
      <c r="K12" s="19">
        <v>0.61529264657319804</v>
      </c>
      <c r="L12" s="19">
        <v>4.1869804329894601E-2</v>
      </c>
      <c r="M12" s="19">
        <v>0.103360705113798</v>
      </c>
      <c r="N12" s="19">
        <v>9.5542801476693091E-3</v>
      </c>
      <c r="O12" s="19">
        <v>0.106157973776589</v>
      </c>
      <c r="P12" s="19">
        <v>8.1950790819264804E-2</v>
      </c>
      <c r="Q12" s="19">
        <v>4.9804655310672602E-2</v>
      </c>
      <c r="R12" s="19">
        <v>1.62612893206995E-2</v>
      </c>
      <c r="S12" s="19">
        <v>0.48523518941318899</v>
      </c>
      <c r="T12" s="19">
        <v>8.83792315629673E-2</v>
      </c>
      <c r="U12" s="19">
        <v>3.6670093374128701E-2</v>
      </c>
      <c r="V12" s="19">
        <v>2.6412708486316001E-2</v>
      </c>
      <c r="W12" s="19">
        <v>3.7648846063517399E-2</v>
      </c>
      <c r="X12" s="19">
        <v>1.3069825687948</v>
      </c>
      <c r="Y12" s="19">
        <v>8.6522596168396096E-2</v>
      </c>
      <c r="Z12" s="19">
        <v>6.9100075369546599E-2</v>
      </c>
      <c r="AA12" s="19">
        <v>1.49774516214961E-2</v>
      </c>
      <c r="AB12" s="19">
        <v>0.115441132429749</v>
      </c>
      <c r="AC12" s="19">
        <v>0.110803585403038</v>
      </c>
      <c r="AD12" s="19">
        <v>7.0475574332011001E-2</v>
      </c>
      <c r="AE12" s="19">
        <v>7.7701355212793394E-2</v>
      </c>
    </row>
    <row r="13" spans="1:31" x14ac:dyDescent="0.2">
      <c r="A13" s="13">
        <v>13</v>
      </c>
      <c r="B13" s="14" t="s">
        <v>76</v>
      </c>
      <c r="C13" s="15" t="s">
        <v>132</v>
      </c>
      <c r="D13" s="14" t="s">
        <v>48</v>
      </c>
      <c r="E13" s="14" t="s">
        <v>132</v>
      </c>
      <c r="F13" s="14" t="s">
        <v>53</v>
      </c>
      <c r="G13" s="14" t="s">
        <v>118</v>
      </c>
      <c r="H13" s="16">
        <v>2.53704620060171E-2</v>
      </c>
      <c r="I13" s="16">
        <v>0.23189912197557599</v>
      </c>
      <c r="J13" s="16">
        <v>0.25504252699742003</v>
      </c>
      <c r="K13" s="16">
        <v>1.08046685133826</v>
      </c>
      <c r="L13" s="16">
        <v>0.13931473842532999</v>
      </c>
      <c r="M13" s="16">
        <v>0.214534731308794</v>
      </c>
      <c r="N13" s="16">
        <v>6.6414030018301595E-2</v>
      </c>
      <c r="O13" s="16">
        <v>0.113576039937207</v>
      </c>
      <c r="P13" s="16">
        <v>0.159308066292453</v>
      </c>
      <c r="Q13" s="16">
        <v>0.109242348118387</v>
      </c>
      <c r="R13" s="16">
        <v>0.130883931648623</v>
      </c>
      <c r="S13" s="16">
        <v>0.24702059938305099</v>
      </c>
      <c r="T13" s="16">
        <v>0.18442148729424601</v>
      </c>
      <c r="U13" s="16">
        <v>1.21694929278652E-2</v>
      </c>
      <c r="V13" s="16">
        <v>0.111098730530897</v>
      </c>
      <c r="W13" s="16">
        <v>0.20011352750830499</v>
      </c>
      <c r="X13" s="16">
        <v>1.1090360657265099</v>
      </c>
      <c r="Y13" s="16">
        <v>0.17942786212077799</v>
      </c>
      <c r="Z13" s="16">
        <v>0.12576097359243699</v>
      </c>
      <c r="AA13" s="16">
        <v>4.8470765115715297E-2</v>
      </c>
      <c r="AB13" s="16">
        <v>0.14055411378056101</v>
      </c>
      <c r="AC13" s="16">
        <v>0.106482638380255</v>
      </c>
      <c r="AD13" s="16">
        <v>0.1029202429144</v>
      </c>
      <c r="AE13" s="16">
        <v>0.11051874307218899</v>
      </c>
    </row>
    <row r="14" spans="1:31" x14ac:dyDescent="0.2">
      <c r="A14" s="13">
        <v>14</v>
      </c>
      <c r="B14" s="17" t="s">
        <v>130</v>
      </c>
      <c r="C14" s="18" t="s">
        <v>132</v>
      </c>
      <c r="D14" s="17" t="s">
        <v>153</v>
      </c>
      <c r="E14" s="17" t="s">
        <v>132</v>
      </c>
      <c r="F14" s="17" t="s">
        <v>73</v>
      </c>
      <c r="G14" s="17" t="s">
        <v>118</v>
      </c>
      <c r="H14" s="19">
        <v>4.8621504519693597E-2</v>
      </c>
      <c r="I14" s="19">
        <v>4.5469432348636998E-2</v>
      </c>
      <c r="J14" s="19">
        <v>3.1503232902573397E-2</v>
      </c>
      <c r="K14" s="19">
        <v>4.6271140991555298E-2</v>
      </c>
      <c r="L14" s="19">
        <v>3.9350126122484397E-2</v>
      </c>
      <c r="M14" s="19">
        <v>6.1923779874386603E-2</v>
      </c>
      <c r="N14" s="19">
        <v>2.6710525477346401E-2</v>
      </c>
      <c r="O14" s="19">
        <v>5.8901193566788197E-2</v>
      </c>
      <c r="P14" s="19">
        <v>1.6270108507459299E-2</v>
      </c>
      <c r="Q14" s="19">
        <v>2.4007188432461898E-2</v>
      </c>
      <c r="R14" s="19">
        <v>4.3633203761814898E-2</v>
      </c>
      <c r="S14" s="19">
        <v>5.9299548801707999E-2</v>
      </c>
      <c r="T14" s="19">
        <v>7.7215383158276904E-2</v>
      </c>
      <c r="U14" s="19">
        <v>3.1879208245915898E-2</v>
      </c>
      <c r="V14" s="19">
        <v>8.0982176467535499E-2</v>
      </c>
      <c r="W14" s="19">
        <v>2.9308244478957499E-2</v>
      </c>
      <c r="X14" s="19">
        <v>9.6327268300627197E-2</v>
      </c>
      <c r="Y14" s="19">
        <v>7.7914553389604999E-2</v>
      </c>
      <c r="Z14" s="19">
        <v>6.4851611491860001E-2</v>
      </c>
      <c r="AA14" s="19">
        <v>5.1245035310624402E-2</v>
      </c>
      <c r="AB14" s="19">
        <v>2.97311420505409E-2</v>
      </c>
      <c r="AC14" s="19">
        <v>4.50369673556709E-2</v>
      </c>
      <c r="AD14" s="19">
        <v>2.7833878775495299E-2</v>
      </c>
      <c r="AE14" s="19">
        <v>3.4697887323532101E-2</v>
      </c>
    </row>
    <row r="15" spans="1:31" x14ac:dyDescent="0.2">
      <c r="A15" s="13">
        <v>15</v>
      </c>
      <c r="B15" s="14" t="s">
        <v>13</v>
      </c>
      <c r="C15" s="15" t="s">
        <v>132</v>
      </c>
      <c r="D15" s="14" t="s">
        <v>54</v>
      </c>
      <c r="E15" s="14" t="s">
        <v>132</v>
      </c>
      <c r="F15" s="14" t="s">
        <v>103</v>
      </c>
      <c r="G15" s="14" t="s">
        <v>118</v>
      </c>
      <c r="H15" s="16">
        <v>0.35669249756164101</v>
      </c>
      <c r="I15" s="16">
        <v>0.133103146407686</v>
      </c>
      <c r="J15" s="16">
        <v>8.4860069529695006E-2</v>
      </c>
      <c r="K15" s="16">
        <v>0.220057617023834</v>
      </c>
      <c r="L15" s="16">
        <v>0.18809355045406301</v>
      </c>
      <c r="M15" s="16">
        <v>0.36632585793518602</v>
      </c>
      <c r="N15" s="16">
        <v>0.78433843897104505</v>
      </c>
      <c r="O15" s="16">
        <v>3.3506955330117001</v>
      </c>
      <c r="P15" s="16">
        <v>0.61052378674191599</v>
      </c>
      <c r="Q15" s="16">
        <v>0.35599233078447301</v>
      </c>
      <c r="R15" s="16">
        <v>0.124749327277174</v>
      </c>
      <c r="S15" s="16">
        <v>0.26126798460285899</v>
      </c>
      <c r="T15" s="16">
        <v>9.2417555297262394E-2</v>
      </c>
      <c r="U15" s="16">
        <v>0.27709959049285499</v>
      </c>
      <c r="V15" s="16">
        <v>0.223140824529304</v>
      </c>
      <c r="W15" s="16">
        <v>3.0608190462716802</v>
      </c>
      <c r="X15" s="16">
        <v>0.489338778398206</v>
      </c>
      <c r="Y15" s="16">
        <v>9.0446226793524695E-2</v>
      </c>
      <c r="Z15" s="16">
        <v>0.23650511041331901</v>
      </c>
      <c r="AA15" s="16">
        <v>8.02350097111546E-3</v>
      </c>
      <c r="AB15" s="16">
        <v>0.222573929052647</v>
      </c>
      <c r="AC15" s="16">
        <v>0.22466313874435101</v>
      </c>
      <c r="AD15" s="16">
        <v>0.18626553608525101</v>
      </c>
      <c r="AE15" s="16">
        <v>0.16597927033360099</v>
      </c>
    </row>
    <row r="16" spans="1:31" x14ac:dyDescent="0.2">
      <c r="A16" s="13">
        <v>16</v>
      </c>
      <c r="B16" s="17" t="s">
        <v>47</v>
      </c>
      <c r="C16" s="18" t="s">
        <v>132</v>
      </c>
      <c r="D16" s="17" t="s">
        <v>131</v>
      </c>
      <c r="E16" s="17" t="s">
        <v>132</v>
      </c>
      <c r="F16" s="17" t="s">
        <v>8</v>
      </c>
      <c r="G16" s="17" t="s">
        <v>118</v>
      </c>
      <c r="H16" s="19">
        <v>8.1602706471770897E-2</v>
      </c>
      <c r="I16" s="19">
        <v>2.9792998976358901E-2</v>
      </c>
      <c r="J16" s="19">
        <v>5.7007005698868699E-2</v>
      </c>
      <c r="K16" s="19">
        <v>0.77407397548291501</v>
      </c>
      <c r="L16" s="19">
        <v>6.3759210407614897E-2</v>
      </c>
      <c r="M16" s="19">
        <v>0.12909682986625901</v>
      </c>
      <c r="N16" s="19">
        <v>0.28573852258299098</v>
      </c>
      <c r="O16" s="19">
        <v>1.65017559617304E-2</v>
      </c>
      <c r="P16" s="19">
        <v>8.9189450895312203E-2</v>
      </c>
      <c r="Q16" s="19">
        <v>0.222739166340268</v>
      </c>
      <c r="R16" s="19">
        <v>1.3808565659390299E-2</v>
      </c>
      <c r="S16" s="19">
        <v>0.67286550139530499</v>
      </c>
      <c r="T16" s="19">
        <v>5.8370193250304701E-2</v>
      </c>
      <c r="U16" s="19">
        <v>0.27928577863804399</v>
      </c>
      <c r="V16" s="19">
        <v>6.9281526827393899E-2</v>
      </c>
      <c r="W16" s="19">
        <v>4.66959010617395E-2</v>
      </c>
      <c r="X16" s="19">
        <v>0.77403505631070801</v>
      </c>
      <c r="Y16" s="19">
        <v>4.3628601073831798E-2</v>
      </c>
      <c r="Z16" s="19">
        <v>6.6496429208992305E-2</v>
      </c>
      <c r="AA16" s="19">
        <v>7.7408514039269599E-2</v>
      </c>
      <c r="AB16" s="19">
        <v>3.2618548892690197E-2</v>
      </c>
      <c r="AC16" s="19">
        <v>5.8167375056322801E-2</v>
      </c>
      <c r="AD16" s="19">
        <v>1.5462909750891299E-2</v>
      </c>
      <c r="AE16" s="19">
        <v>4.3460780690135301E-2</v>
      </c>
    </row>
    <row r="17" spans="1:31" x14ac:dyDescent="0.2">
      <c r="A17" s="13">
        <v>17</v>
      </c>
      <c r="B17" s="14" t="s">
        <v>76</v>
      </c>
      <c r="C17" s="15" t="s">
        <v>132</v>
      </c>
      <c r="D17" s="14" t="s">
        <v>120</v>
      </c>
      <c r="E17" s="14" t="s">
        <v>132</v>
      </c>
      <c r="F17" s="14" t="s">
        <v>12</v>
      </c>
      <c r="G17" s="14" t="s">
        <v>118</v>
      </c>
      <c r="H17" s="16">
        <v>0.22766576257431501</v>
      </c>
      <c r="I17" s="16">
        <v>5.0362824250775997</v>
      </c>
      <c r="J17" s="16">
        <v>9.7736444083141499E-2</v>
      </c>
      <c r="K17" s="16">
        <v>0.356893530729673</v>
      </c>
      <c r="L17" s="16">
        <v>0.61058482474146003</v>
      </c>
      <c r="M17" s="16">
        <v>0.13688853896130099</v>
      </c>
      <c r="N17" s="16">
        <v>0.36638087020172599</v>
      </c>
      <c r="O17" s="16">
        <v>0.40588093115025797</v>
      </c>
      <c r="P17" s="16">
        <v>0.12799917645459899</v>
      </c>
      <c r="Q17" s="16">
        <v>0.209352727127599</v>
      </c>
      <c r="R17" s="16">
        <v>1.40315580296382</v>
      </c>
      <c r="S17" s="16">
        <v>3.2744961611323703E-2</v>
      </c>
      <c r="T17" s="16">
        <v>0.35371765346395201</v>
      </c>
      <c r="U17" s="16">
        <v>0.84821973443328602</v>
      </c>
      <c r="V17" s="16">
        <v>0.18119588723375199</v>
      </c>
      <c r="W17" s="16">
        <v>0.31550314422922499</v>
      </c>
      <c r="X17" s="16">
        <v>0.14301627043146101</v>
      </c>
      <c r="Y17" s="16">
        <v>0.31053952998339102</v>
      </c>
      <c r="Z17" s="16">
        <v>0.239603572619808</v>
      </c>
      <c r="AA17" s="16">
        <v>4.6271105189671799E-2</v>
      </c>
      <c r="AB17" s="16">
        <v>0.131133043388174</v>
      </c>
      <c r="AC17" s="16">
        <v>6.3779734113979802E-2</v>
      </c>
      <c r="AD17" s="16">
        <v>0.10857444737698201</v>
      </c>
      <c r="AE17" s="16">
        <v>6.5233167330984401E-2</v>
      </c>
    </row>
    <row r="18" spans="1:31" x14ac:dyDescent="0.2">
      <c r="A18" s="13">
        <v>18</v>
      </c>
      <c r="B18" s="17" t="s">
        <v>69</v>
      </c>
      <c r="C18" s="18" t="s">
        <v>132</v>
      </c>
      <c r="D18" s="17" t="s">
        <v>102</v>
      </c>
      <c r="E18" s="17" t="s">
        <v>132</v>
      </c>
      <c r="F18" s="17" t="s">
        <v>93</v>
      </c>
      <c r="G18" s="17" t="s">
        <v>118</v>
      </c>
      <c r="H18" s="19">
        <v>5.3951134954805198E-2</v>
      </c>
      <c r="I18" s="19">
        <v>0.128012127078482</v>
      </c>
      <c r="J18" s="19">
        <v>9.9667827926166602E-2</v>
      </c>
      <c r="K18" s="19">
        <v>1.66880888642856</v>
      </c>
      <c r="L18" s="19">
        <v>0.84627959321066104</v>
      </c>
      <c r="M18" s="19">
        <v>0.17495550644470301</v>
      </c>
      <c r="N18" s="19">
        <v>2.0590070796172401E-2</v>
      </c>
      <c r="O18" s="19">
        <v>2.4547744083840702E-2</v>
      </c>
      <c r="P18" s="19">
        <v>8.4371256223988601E-3</v>
      </c>
      <c r="Q18" s="19">
        <v>4.7336500395646498E-2</v>
      </c>
      <c r="R18" s="19">
        <v>4.0304574805393303</v>
      </c>
      <c r="S18" s="19">
        <v>0.41346793883363298</v>
      </c>
      <c r="T18" s="19">
        <v>0.45970572008983801</v>
      </c>
      <c r="U18" s="19">
        <v>2.2704984203437499</v>
      </c>
      <c r="V18" s="19">
        <v>0.22302512342044201</v>
      </c>
      <c r="W18" s="19">
        <v>0.22375385126488601</v>
      </c>
      <c r="X18" s="19">
        <v>0.22487246405978101</v>
      </c>
      <c r="Y18" s="19">
        <v>8.8050122650298501</v>
      </c>
      <c r="Z18" s="19">
        <v>0.12658643016792201</v>
      </c>
      <c r="AA18" s="19">
        <v>0.10317907556898399</v>
      </c>
      <c r="AB18" s="19">
        <v>0.43643603796953401</v>
      </c>
      <c r="AC18" s="19">
        <v>0.16912956594864001</v>
      </c>
      <c r="AD18" s="19">
        <v>0.16826926640533801</v>
      </c>
      <c r="AE18" s="19">
        <v>6.9358066251982195E-2</v>
      </c>
    </row>
    <row r="19" spans="1:31" x14ac:dyDescent="0.2">
      <c r="A19" s="13">
        <v>19</v>
      </c>
      <c r="B19" s="14" t="s">
        <v>55</v>
      </c>
      <c r="C19" s="15" t="s">
        <v>132</v>
      </c>
      <c r="D19" s="14" t="s">
        <v>156</v>
      </c>
      <c r="E19" s="14" t="s">
        <v>132</v>
      </c>
      <c r="F19" s="14" t="s">
        <v>106</v>
      </c>
      <c r="G19" s="14" t="s">
        <v>118</v>
      </c>
      <c r="H19" s="16">
        <v>1.26986996317356E-2</v>
      </c>
      <c r="I19" s="16">
        <v>4.6259954837938502E-2</v>
      </c>
      <c r="J19" s="16">
        <v>3.5076697401042002E-2</v>
      </c>
      <c r="K19" s="16">
        <v>9.1585626359413103E-3</v>
      </c>
      <c r="L19" s="16">
        <v>7.4483749472480501E-2</v>
      </c>
      <c r="M19" s="16">
        <v>1.71111763191336E-2</v>
      </c>
      <c r="N19" s="16">
        <v>2.78957606710462E-2</v>
      </c>
      <c r="O19" s="16">
        <v>4.3972042687723499E-2</v>
      </c>
      <c r="P19" s="16">
        <v>2.6497566225786001E-2</v>
      </c>
      <c r="Q19" s="16">
        <v>4.84665788433346E-2</v>
      </c>
      <c r="R19" s="16">
        <v>8.7564120308312399E-2</v>
      </c>
      <c r="S19" s="16">
        <v>6.6126583150069002E-2</v>
      </c>
      <c r="T19" s="16">
        <v>3.3527097111352801E-2</v>
      </c>
      <c r="U19" s="16">
        <v>5.1766280818649299E-2</v>
      </c>
      <c r="V19" s="16">
        <v>3.6438023303107102E-2</v>
      </c>
      <c r="W19" s="16">
        <v>0.104245827092321</v>
      </c>
      <c r="X19" s="16">
        <v>4.3346184364479699E-2</v>
      </c>
      <c r="Y19" s="16">
        <v>5.5951619110300499E-2</v>
      </c>
      <c r="Z19" s="16">
        <v>9.6549005530994492E-3</v>
      </c>
      <c r="AA19" s="16">
        <v>3.6854291382033499E-2</v>
      </c>
      <c r="AB19" s="16">
        <v>4.92593237073706E-2</v>
      </c>
      <c r="AC19" s="16">
        <v>1.3444639791161299E-2</v>
      </c>
      <c r="AD19" s="16">
        <v>6.3277550923124995E-2</v>
      </c>
      <c r="AE19" s="16">
        <v>3.57538658262554E-2</v>
      </c>
    </row>
    <row r="20" spans="1:31" x14ac:dyDescent="0.2">
      <c r="A20" s="13">
        <v>20</v>
      </c>
      <c r="B20" s="17" t="s">
        <v>142</v>
      </c>
      <c r="C20" s="18" t="s">
        <v>132</v>
      </c>
      <c r="D20" s="17" t="s">
        <v>74</v>
      </c>
      <c r="E20" s="17" t="s">
        <v>132</v>
      </c>
      <c r="F20" s="17" t="s">
        <v>20</v>
      </c>
      <c r="G20" s="17" t="s">
        <v>118</v>
      </c>
      <c r="H20" s="19">
        <v>0.23916983592569899</v>
      </c>
      <c r="I20" s="19">
        <v>0.22714106249038599</v>
      </c>
      <c r="J20" s="19">
        <v>0.22733516784603999</v>
      </c>
      <c r="K20" s="19">
        <v>0.60347812059820205</v>
      </c>
      <c r="L20" s="19">
        <v>0.102411530261897</v>
      </c>
      <c r="M20" s="19">
        <v>0.26552888223974203</v>
      </c>
      <c r="N20" s="19">
        <v>0.345098413165427</v>
      </c>
      <c r="O20" s="19">
        <v>0.49840241128785601</v>
      </c>
      <c r="P20" s="19">
        <v>1.83460607845056</v>
      </c>
      <c r="Q20" s="19">
        <v>2.7027325867360098E-2</v>
      </c>
      <c r="R20" s="19">
        <v>0.20229426594031699</v>
      </c>
      <c r="S20" s="19">
        <v>0.185200413530206</v>
      </c>
      <c r="T20" s="19">
        <v>0.11218179307995101</v>
      </c>
      <c r="U20" s="19">
        <v>0.200383997295806</v>
      </c>
      <c r="V20" s="19">
        <v>0.17250521840155</v>
      </c>
      <c r="W20" s="19">
        <v>2.9509665719201701</v>
      </c>
      <c r="X20" s="19">
        <v>0.20786165743836699</v>
      </c>
      <c r="Y20" s="19">
        <v>0.16981603871707801</v>
      </c>
      <c r="Z20" s="19">
        <v>0.12579023305513701</v>
      </c>
      <c r="AA20" s="19">
        <v>2.9771675026002999E-2</v>
      </c>
      <c r="AB20" s="19">
        <v>0.16020868738472999</v>
      </c>
      <c r="AC20" s="19">
        <v>0.17507512267171199</v>
      </c>
      <c r="AD20" s="19">
        <v>0.16547600877261501</v>
      </c>
      <c r="AE20" s="19">
        <v>0.1383284983209</v>
      </c>
    </row>
    <row r="21" spans="1:31" x14ac:dyDescent="0.2">
      <c r="A21" s="13">
        <v>21</v>
      </c>
      <c r="B21" s="14" t="s">
        <v>119</v>
      </c>
      <c r="C21" s="15" t="s">
        <v>132</v>
      </c>
      <c r="D21" s="14" t="s">
        <v>98</v>
      </c>
      <c r="E21" s="14" t="s">
        <v>132</v>
      </c>
      <c r="F21" s="14" t="s">
        <v>160</v>
      </c>
      <c r="G21" s="14" t="s">
        <v>118</v>
      </c>
      <c r="H21" s="16">
        <v>5.6727693948410901E-2</v>
      </c>
      <c r="I21" s="16">
        <v>4.9656812158144603E-2</v>
      </c>
      <c r="J21" s="16">
        <v>2.5871270838373199E-2</v>
      </c>
      <c r="K21" s="16">
        <v>3.5694074778652003E-2</v>
      </c>
      <c r="L21" s="16">
        <v>7.1138973691068794E-2</v>
      </c>
      <c r="M21" s="16">
        <v>5.5308656299667303E-2</v>
      </c>
      <c r="N21" s="16">
        <v>2.3534771124566301E-2</v>
      </c>
      <c r="O21" s="16">
        <v>5.6635930797528197E-2</v>
      </c>
      <c r="P21" s="16">
        <v>2.4143798387412398E-2</v>
      </c>
      <c r="Q21" s="16">
        <v>7.8739738720644895E-3</v>
      </c>
      <c r="R21" s="16">
        <v>6.9413935351165496E-2</v>
      </c>
      <c r="S21" s="16">
        <v>0.28056600673273802</v>
      </c>
      <c r="T21" s="16">
        <v>3.1601643670800499</v>
      </c>
      <c r="U21" s="16">
        <v>5.5966733778463199E-4</v>
      </c>
      <c r="V21" s="16">
        <v>7.4388377706877395E-2</v>
      </c>
      <c r="W21" s="16">
        <v>0.12786006139151801</v>
      </c>
      <c r="X21" s="16">
        <v>0.31666081052184503</v>
      </c>
      <c r="Y21" s="16">
        <v>0.22481764247351099</v>
      </c>
      <c r="Z21" s="16">
        <v>7.5980249655002302E-2</v>
      </c>
      <c r="AA21" s="16">
        <v>7.2250237188489899E-2</v>
      </c>
      <c r="AB21" s="16">
        <v>9.9363073245281097E-2</v>
      </c>
      <c r="AC21" s="16">
        <v>6.7437214488981198E-2</v>
      </c>
      <c r="AD21" s="16">
        <v>2.46893172337035E-2</v>
      </c>
      <c r="AE21" s="16">
        <v>5.8634600054640801E-2</v>
      </c>
    </row>
    <row r="22" spans="1:31" x14ac:dyDescent="0.2">
      <c r="A22" s="13">
        <v>22</v>
      </c>
      <c r="B22" s="17" t="s">
        <v>101</v>
      </c>
      <c r="C22" s="18" t="s">
        <v>132</v>
      </c>
      <c r="D22" s="17" t="s">
        <v>152</v>
      </c>
      <c r="E22" s="17" t="s">
        <v>132</v>
      </c>
      <c r="F22" s="17" t="s">
        <v>158</v>
      </c>
      <c r="G22" s="17" t="s">
        <v>118</v>
      </c>
      <c r="H22" s="19">
        <v>2.7693587493296E-2</v>
      </c>
      <c r="I22" s="19">
        <v>5.9480079530573701E-2</v>
      </c>
      <c r="J22" s="19">
        <v>6.4484390567083799E-2</v>
      </c>
      <c r="K22" s="19">
        <v>4.2551702576780003E-2</v>
      </c>
      <c r="L22" s="19">
        <v>7.4647236034370498E-2</v>
      </c>
      <c r="M22" s="19">
        <v>3.0063055473008599E-2</v>
      </c>
      <c r="N22" s="19">
        <v>1.45569118047217E-2</v>
      </c>
      <c r="O22" s="19">
        <v>6.8982229287781596E-2</v>
      </c>
      <c r="P22" s="19">
        <v>1.9569748406643699E-2</v>
      </c>
      <c r="Q22" s="19">
        <v>5.3738472825112002E-2</v>
      </c>
      <c r="R22" s="19">
        <v>7.0002891640901801E-2</v>
      </c>
      <c r="S22" s="19">
        <v>4.3018438720505502E-2</v>
      </c>
      <c r="T22" s="19">
        <v>0.141707770090094</v>
      </c>
      <c r="U22" s="19">
        <v>4.6713888942131299E-2</v>
      </c>
      <c r="V22" s="19">
        <v>4.4394344699022502E-2</v>
      </c>
      <c r="W22" s="19">
        <v>0.34666863721445701</v>
      </c>
      <c r="X22" s="19">
        <v>0.118622367497143</v>
      </c>
      <c r="Y22" s="19">
        <v>0.61390848610957305</v>
      </c>
      <c r="Z22" s="19">
        <v>6.5727552253602606E-2</v>
      </c>
      <c r="AA22" s="19">
        <v>2.4581343162038499E-2</v>
      </c>
      <c r="AB22" s="19">
        <v>0.20078439346483201</v>
      </c>
      <c r="AC22" s="19">
        <v>2.55138551924107E-2</v>
      </c>
      <c r="AD22" s="19">
        <v>4.1574164481899198E-2</v>
      </c>
      <c r="AE22" s="19">
        <v>2.9060584470578198E-2</v>
      </c>
    </row>
    <row r="23" spans="1:31" x14ac:dyDescent="0.2">
      <c r="A23" s="13">
        <v>23</v>
      </c>
      <c r="B23" s="14" t="s">
        <v>16</v>
      </c>
      <c r="C23" s="15" t="s">
        <v>132</v>
      </c>
      <c r="D23" s="14" t="s">
        <v>24</v>
      </c>
      <c r="E23" s="14" t="s">
        <v>132</v>
      </c>
      <c r="F23" s="14" t="s">
        <v>30</v>
      </c>
      <c r="G23" s="14" t="s">
        <v>118</v>
      </c>
      <c r="H23" s="16">
        <v>0.17035140341621999</v>
      </c>
      <c r="I23" s="16">
        <v>0.123314712126119</v>
      </c>
      <c r="J23" s="16">
        <v>3.1121548197140102E-2</v>
      </c>
      <c r="K23" s="16">
        <v>1.74409544976125</v>
      </c>
      <c r="L23" s="16">
        <v>0.12371201410167</v>
      </c>
      <c r="M23" s="16">
        <v>0.204921888045556</v>
      </c>
      <c r="N23" s="16">
        <v>0.186233860268398</v>
      </c>
      <c r="O23" s="16">
        <v>0.14065621508965401</v>
      </c>
      <c r="P23" s="16">
        <v>0.18153500523459201</v>
      </c>
      <c r="Q23" s="16">
        <v>0.15943200767385601</v>
      </c>
      <c r="R23" s="16">
        <v>4.8432309641896702E-2</v>
      </c>
      <c r="S23" s="16">
        <v>0.26087104225441898</v>
      </c>
      <c r="T23" s="16">
        <v>2.8825731932126501E-2</v>
      </c>
      <c r="U23" s="16">
        <v>1.27375455224419E-3</v>
      </c>
      <c r="V23" s="16">
        <v>0.20040133110025901</v>
      </c>
      <c r="W23" s="16">
        <v>0.11519956545509</v>
      </c>
      <c r="X23" s="16">
        <v>0.24023950323457199</v>
      </c>
      <c r="Y23" s="16">
        <v>1.79793560025663</v>
      </c>
      <c r="Z23" s="16">
        <v>0.164898770534286</v>
      </c>
      <c r="AA23" s="16">
        <v>5.8412389672540498E-2</v>
      </c>
      <c r="AB23" s="16">
        <v>1.7578400275343999</v>
      </c>
      <c r="AC23" s="16">
        <v>4.8790735625663002E-2</v>
      </c>
      <c r="AD23" s="16">
        <v>3.3757044549450499E-2</v>
      </c>
      <c r="AE23" s="16">
        <v>5.7693426888284598E-2</v>
      </c>
    </row>
    <row r="24" spans="1:31" x14ac:dyDescent="0.2">
      <c r="A24" s="13">
        <v>24</v>
      </c>
      <c r="B24" s="17" t="s">
        <v>150</v>
      </c>
      <c r="C24" s="18" t="s">
        <v>132</v>
      </c>
      <c r="D24" s="17" t="s">
        <v>84</v>
      </c>
      <c r="E24" s="17" t="s">
        <v>132</v>
      </c>
      <c r="F24" s="17" t="s">
        <v>133</v>
      </c>
      <c r="G24" s="17" t="s">
        <v>118</v>
      </c>
      <c r="H24" s="19">
        <v>4.1617087201444497E-2</v>
      </c>
      <c r="I24" s="19">
        <v>2.70399612945748E-2</v>
      </c>
      <c r="J24" s="19">
        <v>9.0990096167764503E-2</v>
      </c>
      <c r="K24" s="19">
        <v>2.4623776726801001E-2</v>
      </c>
      <c r="L24" s="19">
        <v>5.0879472396593003E-2</v>
      </c>
      <c r="M24" s="19">
        <v>5.6257443857221298E-2</v>
      </c>
      <c r="N24" s="19">
        <v>1.06740865819046E-2</v>
      </c>
      <c r="O24" s="19">
        <v>3.1518894530372502E-2</v>
      </c>
      <c r="P24" s="19">
        <v>1.4252779837432001E-2</v>
      </c>
      <c r="Q24" s="19">
        <v>2.5662392841027198E-2</v>
      </c>
      <c r="R24" s="19">
        <v>3.20219849002455E-2</v>
      </c>
      <c r="S24" s="19">
        <v>0.13029124011405599</v>
      </c>
      <c r="T24" s="19">
        <v>6.4659970248528695E-2</v>
      </c>
      <c r="U24" s="19">
        <v>2.7871210081178901E-2</v>
      </c>
      <c r="V24" s="19">
        <v>5.4521332973475597E-2</v>
      </c>
      <c r="W24" s="19">
        <v>0.556134983912424</v>
      </c>
      <c r="X24" s="19">
        <v>0.21956359336699299</v>
      </c>
      <c r="Y24" s="19">
        <v>0.17325459799281001</v>
      </c>
      <c r="Z24" s="19">
        <v>4.6040765191845301E-2</v>
      </c>
      <c r="AA24" s="19">
        <v>0.10732599036988</v>
      </c>
      <c r="AB24" s="19">
        <v>0.24570438701244501</v>
      </c>
      <c r="AC24" s="19">
        <v>5.0941992231165398E-2</v>
      </c>
      <c r="AD24" s="19">
        <v>7.17461652365812E-2</v>
      </c>
      <c r="AE24" s="19">
        <v>8.2286387865830798E-2</v>
      </c>
    </row>
    <row r="25" spans="1:31" x14ac:dyDescent="0.2">
      <c r="A25" s="13">
        <v>25</v>
      </c>
      <c r="B25" s="14" t="s">
        <v>16</v>
      </c>
      <c r="C25" s="15" t="s">
        <v>132</v>
      </c>
      <c r="D25" s="14" t="s">
        <v>100</v>
      </c>
      <c r="E25" s="14" t="s">
        <v>132</v>
      </c>
      <c r="F25" s="14" t="s">
        <v>43</v>
      </c>
      <c r="G25" s="14" t="s">
        <v>118</v>
      </c>
      <c r="H25" s="16">
        <v>0.17674202634660799</v>
      </c>
      <c r="I25" s="16">
        <v>0.12945707817760299</v>
      </c>
      <c r="J25" s="16">
        <v>3.03733543649722E-2</v>
      </c>
      <c r="K25" s="16">
        <v>3.25079337210048</v>
      </c>
      <c r="L25" s="16">
        <v>0.14483464110493499</v>
      </c>
      <c r="M25" s="16">
        <v>9.4369066536060905E-2</v>
      </c>
      <c r="N25" s="16">
        <v>8.9760444230534198E-2</v>
      </c>
      <c r="O25" s="16">
        <v>0.10209923278585301</v>
      </c>
      <c r="P25" s="16">
        <v>6.4307813892189106E-2</v>
      </c>
      <c r="Q25" s="16">
        <v>0.13439803986152299</v>
      </c>
      <c r="R25" s="16">
        <v>0.17408119950020201</v>
      </c>
      <c r="S25" s="16">
        <v>0.112207830101284</v>
      </c>
      <c r="T25" s="16">
        <v>7.9701318761471306E-3</v>
      </c>
      <c r="U25" s="16">
        <v>2.5290656857628198E-4</v>
      </c>
      <c r="V25" s="16">
        <v>7.4939484020760005E-2</v>
      </c>
      <c r="W25" s="16">
        <v>0.16155214669618101</v>
      </c>
      <c r="X25" s="16">
        <v>0.11885400377055499</v>
      </c>
      <c r="Y25" s="16">
        <v>2.0082336704409398</v>
      </c>
      <c r="Z25" s="16">
        <v>0.15153128330840099</v>
      </c>
      <c r="AA25" s="16">
        <v>6.10915593930971E-2</v>
      </c>
      <c r="AB25" s="16">
        <v>0.108253124323377</v>
      </c>
      <c r="AC25" s="16">
        <v>0.13346728676987801</v>
      </c>
      <c r="AD25" s="16">
        <v>4.8520500338867199E-2</v>
      </c>
      <c r="AE25" s="16">
        <v>8.9808289733510002E-2</v>
      </c>
    </row>
    <row r="26" spans="1:31" x14ac:dyDescent="0.2">
      <c r="A26" s="13">
        <v>26</v>
      </c>
      <c r="B26" s="17" t="s">
        <v>137</v>
      </c>
      <c r="C26" s="18" t="s">
        <v>132</v>
      </c>
      <c r="D26" s="17" t="s">
        <v>122</v>
      </c>
      <c r="E26" s="17" t="s">
        <v>132</v>
      </c>
      <c r="F26" s="17" t="s">
        <v>49</v>
      </c>
      <c r="G26" s="17" t="s">
        <v>118</v>
      </c>
      <c r="H26" s="20" t="s">
        <v>25</v>
      </c>
      <c r="I26" s="19">
        <v>5.03851137147453E-2</v>
      </c>
      <c r="J26" s="19">
        <v>4.0006717979086399E-2</v>
      </c>
      <c r="K26" s="19">
        <v>4.5179005887364697E-2</v>
      </c>
      <c r="L26" s="19">
        <v>7.5050484366964099E-2</v>
      </c>
      <c r="M26" s="19">
        <v>4.28993968873186E-2</v>
      </c>
      <c r="N26" s="19">
        <v>1.0918473103173201E-2</v>
      </c>
      <c r="O26" s="19">
        <v>1.21268808352773E-2</v>
      </c>
      <c r="P26" s="19">
        <v>2.1727436982858901E-2</v>
      </c>
      <c r="Q26" s="19">
        <v>4.8577460724885203E-2</v>
      </c>
      <c r="R26" s="19">
        <v>8.2754673160682898E-2</v>
      </c>
      <c r="S26" s="19">
        <v>0.112011512311622</v>
      </c>
      <c r="T26" s="19">
        <v>1.76983735819051E-2</v>
      </c>
      <c r="U26" s="19">
        <v>0.155527830232356</v>
      </c>
      <c r="V26" s="19">
        <v>4.3233146625306001E-2</v>
      </c>
      <c r="W26" s="19">
        <v>0.12256484100662</v>
      </c>
      <c r="X26" s="19">
        <v>0.223390194472425</v>
      </c>
      <c r="Y26" s="19">
        <v>8.95842491553622E-2</v>
      </c>
      <c r="Z26" s="19">
        <v>5.5672077502474097E-2</v>
      </c>
      <c r="AA26" s="19">
        <v>3.4487851275604602E-2</v>
      </c>
      <c r="AB26" s="19">
        <v>0.13939804093365299</v>
      </c>
      <c r="AC26" s="19">
        <v>7.9079494881012596E-2</v>
      </c>
      <c r="AD26" s="19">
        <v>5.2569625471763602E-2</v>
      </c>
      <c r="AE26" s="19">
        <v>2.2951370094587701E-2</v>
      </c>
    </row>
    <row r="27" spans="1:31" x14ac:dyDescent="0.2">
      <c r="A27" s="13">
        <v>27</v>
      </c>
      <c r="B27" s="14" t="s">
        <v>7</v>
      </c>
      <c r="C27" s="15" t="s">
        <v>132</v>
      </c>
      <c r="D27" s="14" t="s">
        <v>110</v>
      </c>
      <c r="E27" s="14" t="s">
        <v>132</v>
      </c>
      <c r="F27" s="14" t="s">
        <v>91</v>
      </c>
      <c r="G27" s="14" t="s">
        <v>118</v>
      </c>
      <c r="H27" s="16">
        <v>3.6619725232404601E-2</v>
      </c>
      <c r="I27" s="16">
        <v>7.2262172024021798E-2</v>
      </c>
      <c r="J27" s="16">
        <v>4.4261862639174497E-2</v>
      </c>
      <c r="K27" s="16">
        <v>3.4983114624209097E-2</v>
      </c>
      <c r="L27" s="16">
        <v>4.3511105868570703E-2</v>
      </c>
      <c r="M27" s="16">
        <v>5.8730098258856903E-2</v>
      </c>
      <c r="N27" s="16">
        <v>0.18283449744738201</v>
      </c>
      <c r="O27" s="16">
        <v>7.19432009365049E-2</v>
      </c>
      <c r="P27" s="16">
        <v>0.16704201776091501</v>
      </c>
      <c r="Q27" s="16">
        <v>5.88702074864354E-2</v>
      </c>
      <c r="R27" s="16">
        <v>8.1409681378426593E-3</v>
      </c>
      <c r="S27" s="16">
        <v>0.87569629617728395</v>
      </c>
      <c r="T27" s="16">
        <v>5.6072165190177603E-2</v>
      </c>
      <c r="U27" s="16">
        <v>1.88016003999725E-4</v>
      </c>
      <c r="V27" s="16">
        <v>0.12867201085955801</v>
      </c>
      <c r="W27" s="16">
        <v>0.285246599974399</v>
      </c>
      <c r="X27" s="16">
        <v>0.17736741505152201</v>
      </c>
      <c r="Y27" s="16">
        <v>0.64580361248922602</v>
      </c>
      <c r="Z27" s="16">
        <v>5.9770472229609801E-2</v>
      </c>
      <c r="AA27" s="16">
        <v>8.5607191225691007E-2</v>
      </c>
      <c r="AB27" s="16">
        <v>0.147075234749237</v>
      </c>
      <c r="AC27" s="16">
        <v>9.2362003140044294E-2</v>
      </c>
      <c r="AD27" s="16">
        <v>3.3962895158823003E-2</v>
      </c>
      <c r="AE27" s="16">
        <v>7.0469546862930499E-2</v>
      </c>
    </row>
    <row r="28" spans="1:31" x14ac:dyDescent="0.2">
      <c r="A28" s="13">
        <v>28</v>
      </c>
      <c r="B28" s="17" t="s">
        <v>7</v>
      </c>
      <c r="C28" s="18" t="s">
        <v>132</v>
      </c>
      <c r="D28" s="17" t="s">
        <v>34</v>
      </c>
      <c r="E28" s="17" t="s">
        <v>132</v>
      </c>
      <c r="F28" s="17" t="s">
        <v>9</v>
      </c>
      <c r="G28" s="17" t="s">
        <v>118</v>
      </c>
      <c r="H28" s="19">
        <v>3.4278436330731701E-2</v>
      </c>
      <c r="I28" s="19">
        <v>0.11751398113259599</v>
      </c>
      <c r="J28" s="19">
        <v>4.7881733400499102E-2</v>
      </c>
      <c r="K28" s="19">
        <v>4.0427281583619801E-2</v>
      </c>
      <c r="L28" s="19">
        <v>0.139453469132578</v>
      </c>
      <c r="M28" s="19">
        <v>2.5499737936634501E-2</v>
      </c>
      <c r="N28" s="19">
        <v>4.42922573381953E-2</v>
      </c>
      <c r="O28" s="19">
        <v>5.3973238242957799E-3</v>
      </c>
      <c r="P28" s="19">
        <v>5.1963936351034301E-2</v>
      </c>
      <c r="Q28" s="19">
        <v>2.2657902838146299E-2</v>
      </c>
      <c r="R28" s="19">
        <v>9.6506239404581196E-2</v>
      </c>
      <c r="S28" s="19">
        <v>6.5762670727130004E-2</v>
      </c>
      <c r="T28" s="19">
        <v>3.36545081720135E-2</v>
      </c>
      <c r="U28" s="19">
        <v>9.4380779045999895E-4</v>
      </c>
      <c r="V28" s="19">
        <v>6.1739595669334797E-2</v>
      </c>
      <c r="W28" s="19">
        <v>1.55581263088949</v>
      </c>
      <c r="X28" s="19">
        <v>5.5768334879173501E-2</v>
      </c>
      <c r="Y28" s="19">
        <v>1.60830523340178</v>
      </c>
      <c r="Z28" s="19">
        <v>0.10654807095332</v>
      </c>
      <c r="AA28" s="19">
        <v>0.109682252554977</v>
      </c>
      <c r="AB28" s="19">
        <v>0.31579959703938598</v>
      </c>
      <c r="AC28" s="19">
        <v>1.3079413120434201E-2</v>
      </c>
      <c r="AD28" s="19">
        <v>0.14050453374365901</v>
      </c>
      <c r="AE28" s="19">
        <v>6.5566717521661599E-2</v>
      </c>
    </row>
    <row r="29" spans="1:31" x14ac:dyDescent="0.2">
      <c r="A29" s="13">
        <v>29</v>
      </c>
      <c r="B29" s="14" t="s">
        <v>145</v>
      </c>
      <c r="C29" s="15" t="s">
        <v>132</v>
      </c>
      <c r="D29" s="14" t="s">
        <v>80</v>
      </c>
      <c r="E29" s="14" t="s">
        <v>132</v>
      </c>
      <c r="F29" s="14" t="s">
        <v>108</v>
      </c>
      <c r="G29" s="14" t="s">
        <v>118</v>
      </c>
      <c r="H29" s="16">
        <v>5.0527364378756302E-2</v>
      </c>
      <c r="I29" s="16">
        <v>1.9422863253680998E-2</v>
      </c>
      <c r="J29" s="16">
        <v>5.76633413477039E-2</v>
      </c>
      <c r="K29" s="16">
        <v>2.2320662676981601E-2</v>
      </c>
      <c r="L29" s="16">
        <v>6.3578385729441397E-2</v>
      </c>
      <c r="M29" s="16">
        <v>5.6869179059951099E-2</v>
      </c>
      <c r="N29" s="16">
        <v>2.83929183869393E-2</v>
      </c>
      <c r="O29" s="16">
        <v>1.3534083692327101E-2</v>
      </c>
      <c r="P29" s="16">
        <v>2.0738302697763899E-2</v>
      </c>
      <c r="Q29" s="16">
        <v>6.8642862822163503E-2</v>
      </c>
      <c r="R29" s="16">
        <v>3.1665772056296497E-2</v>
      </c>
      <c r="S29" s="16">
        <v>0.10274496867230599</v>
      </c>
      <c r="T29" s="16">
        <v>3.7885279704564699E-2</v>
      </c>
      <c r="U29" s="16">
        <v>8.56511627942068E-2</v>
      </c>
      <c r="V29" s="16">
        <v>7.9540915646248003E-2</v>
      </c>
      <c r="W29" s="16">
        <v>6.2996664504020597E-2</v>
      </c>
      <c r="X29" s="16">
        <v>0.10830685011444099</v>
      </c>
      <c r="Y29" s="16">
        <v>3.1843283409137897E-2</v>
      </c>
      <c r="Z29" s="16">
        <v>5.0125517288168803E-2</v>
      </c>
      <c r="AA29" s="16">
        <v>7.3105584592102396E-2</v>
      </c>
      <c r="AB29" s="16">
        <v>5.0017660318755403E-2</v>
      </c>
      <c r="AC29" s="16">
        <v>4.6387321429345998E-2</v>
      </c>
      <c r="AD29" s="16">
        <v>2.0227831656964901E-2</v>
      </c>
      <c r="AE29" s="16">
        <v>4.9021045710669703E-2</v>
      </c>
    </row>
    <row r="30" spans="1:31" x14ac:dyDescent="0.2">
      <c r="A30" s="13">
        <v>30</v>
      </c>
      <c r="B30" s="17" t="s">
        <v>71</v>
      </c>
      <c r="C30" s="18" t="s">
        <v>132</v>
      </c>
      <c r="D30" s="17" t="s">
        <v>115</v>
      </c>
      <c r="E30" s="17" t="s">
        <v>132</v>
      </c>
      <c r="F30" s="17" t="s">
        <v>68</v>
      </c>
      <c r="G30" s="17" t="s">
        <v>118</v>
      </c>
      <c r="H30" s="19">
        <v>0.28294653528380997</v>
      </c>
      <c r="I30" s="19">
        <v>0.10475724160198099</v>
      </c>
      <c r="J30" s="19">
        <v>7.9438300742957699E-2</v>
      </c>
      <c r="K30" s="19">
        <v>3.7832348436783701E-2</v>
      </c>
      <c r="L30" s="19">
        <v>0.25065796219649999</v>
      </c>
      <c r="M30" s="19">
        <v>0.331760103785253</v>
      </c>
      <c r="N30" s="19">
        <v>0.27014520448489199</v>
      </c>
      <c r="O30" s="19">
        <v>0.179632210374817</v>
      </c>
      <c r="P30" s="19">
        <v>0.409413792717086</v>
      </c>
      <c r="Q30" s="19">
        <v>0.320661874394153</v>
      </c>
      <c r="R30" s="19">
        <v>0.100113053948202</v>
      </c>
      <c r="S30" s="19">
        <v>0.31428300163634898</v>
      </c>
      <c r="T30" s="19">
        <v>0.136706708686892</v>
      </c>
      <c r="U30" s="19">
        <v>1.4867619551040601</v>
      </c>
      <c r="V30" s="19">
        <v>0.152653144698428</v>
      </c>
      <c r="W30" s="19">
        <v>0.24015171332876301</v>
      </c>
      <c r="X30" s="19">
        <v>0.192597348483419</v>
      </c>
      <c r="Y30" s="19">
        <v>0.15599840580829</v>
      </c>
      <c r="Z30" s="19">
        <v>0.12814347155773101</v>
      </c>
      <c r="AA30" s="19">
        <v>1.9642443379604201E-2</v>
      </c>
      <c r="AB30" s="19">
        <v>0.181863320990999</v>
      </c>
      <c r="AC30" s="19">
        <v>0.17047105168788099</v>
      </c>
      <c r="AD30" s="19">
        <v>0.116768714143638</v>
      </c>
      <c r="AE30" s="19">
        <v>0.118062420290192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E31"/>
  <sheetViews>
    <sheetView workbookViewId="0"/>
  </sheetViews>
  <sheetFormatPr defaultColWidth="9.140625" defaultRowHeight="12.75" x14ac:dyDescent="0.2"/>
  <cols>
    <col min="1" max="1" width="5.7109375" customWidth="1"/>
    <col min="2" max="2" width="21.42578125" customWidth="1"/>
    <col min="3" max="3" width="2.85546875" customWidth="1"/>
    <col min="4" max="4" width="21.42578125" customWidth="1"/>
    <col min="5" max="31" width="10.7109375" customWidth="1"/>
  </cols>
  <sheetData>
    <row r="1" spans="1:31" ht="38.25" customHeight="1" x14ac:dyDescent="0.2">
      <c r="A1" s="1" t="s">
        <v>66</v>
      </c>
      <c r="B1" s="1" t="s">
        <v>138</v>
      </c>
      <c r="C1" s="1" t="s">
        <v>107</v>
      </c>
      <c r="D1" s="1" t="s">
        <v>42</v>
      </c>
      <c r="E1" s="1" t="s">
        <v>58</v>
      </c>
      <c r="F1" s="1" t="s">
        <v>75</v>
      </c>
      <c r="G1" s="1" t="s">
        <v>134</v>
      </c>
      <c r="H1" s="1" t="s">
        <v>40</v>
      </c>
      <c r="I1" s="1" t="s">
        <v>148</v>
      </c>
      <c r="J1" s="1" t="s">
        <v>2</v>
      </c>
      <c r="K1" s="1" t="s">
        <v>36</v>
      </c>
      <c r="L1" s="1" t="s">
        <v>10</v>
      </c>
      <c r="M1" s="1" t="s">
        <v>51</v>
      </c>
      <c r="N1" s="2" t="s">
        <v>125</v>
      </c>
      <c r="O1" s="1" t="s">
        <v>78</v>
      </c>
      <c r="P1" s="2" t="s">
        <v>18</v>
      </c>
      <c r="Q1" s="1" t="s">
        <v>79</v>
      </c>
      <c r="R1" s="1" t="s">
        <v>149</v>
      </c>
      <c r="S1" s="1" t="s">
        <v>140</v>
      </c>
      <c r="T1" s="1" t="s">
        <v>67</v>
      </c>
      <c r="U1" s="1" t="s">
        <v>14</v>
      </c>
      <c r="V1" s="1" t="s">
        <v>92</v>
      </c>
      <c r="W1" s="1" t="s">
        <v>162</v>
      </c>
      <c r="X1" s="1" t="s">
        <v>19</v>
      </c>
      <c r="Y1" s="1" t="s">
        <v>15</v>
      </c>
      <c r="Z1" s="1" t="s">
        <v>82</v>
      </c>
      <c r="AA1" s="1" t="s">
        <v>39</v>
      </c>
      <c r="AB1" s="1" t="s">
        <v>60</v>
      </c>
      <c r="AC1" s="1" t="s">
        <v>81</v>
      </c>
      <c r="AD1" s="1" t="s">
        <v>28</v>
      </c>
      <c r="AE1" s="1" t="s">
        <v>143</v>
      </c>
    </row>
    <row r="2" spans="1:31" x14ac:dyDescent="0.2">
      <c r="A2" s="3">
        <v>1</v>
      </c>
      <c r="B2" s="4" t="s">
        <v>16</v>
      </c>
      <c r="C2" s="5" t="s">
        <v>132</v>
      </c>
      <c r="D2" s="4" t="s">
        <v>6</v>
      </c>
      <c r="E2" s="4" t="s">
        <v>132</v>
      </c>
      <c r="F2" s="4" t="s">
        <v>22</v>
      </c>
      <c r="G2" s="4" t="s">
        <v>118</v>
      </c>
      <c r="H2" s="23"/>
      <c r="I2" s="21">
        <v>-0.20662641893435699</v>
      </c>
      <c r="J2" s="21">
        <v>-0.46283090146669098</v>
      </c>
      <c r="K2" s="23"/>
      <c r="L2" s="23"/>
      <c r="M2" s="23"/>
      <c r="N2" s="23"/>
      <c r="O2" s="23"/>
      <c r="P2" s="23"/>
      <c r="Q2" s="23"/>
      <c r="R2" s="21">
        <v>-5.6209181248033001E-2</v>
      </c>
      <c r="S2" s="23"/>
      <c r="T2" s="21">
        <v>-4.1684253821743802E-2</v>
      </c>
      <c r="U2" s="21">
        <v>-5.6416706071354898</v>
      </c>
      <c r="V2" s="21">
        <v>-3.1156999920578701E-2</v>
      </c>
      <c r="W2" s="23"/>
      <c r="X2" s="23"/>
      <c r="Y2" s="23"/>
      <c r="Z2" s="23"/>
      <c r="AA2" s="23"/>
      <c r="AB2" s="23"/>
      <c r="AC2" s="23"/>
      <c r="AD2" s="23"/>
      <c r="AE2" s="21">
        <v>-1.49110717839098E-2</v>
      </c>
    </row>
    <row r="3" spans="1:31" x14ac:dyDescent="0.2">
      <c r="A3" s="3">
        <v>2</v>
      </c>
      <c r="B3" s="7" t="s">
        <v>16</v>
      </c>
      <c r="C3" s="8" t="s">
        <v>132</v>
      </c>
      <c r="D3" s="7" t="s">
        <v>85</v>
      </c>
      <c r="E3" s="7" t="s">
        <v>132</v>
      </c>
      <c r="F3" s="7" t="s">
        <v>32</v>
      </c>
      <c r="G3" s="7" t="s">
        <v>118</v>
      </c>
      <c r="H3" s="12"/>
      <c r="I3" s="22">
        <v>-0.20386444569676901</v>
      </c>
      <c r="J3" s="22">
        <v>-0.48994147130610399</v>
      </c>
      <c r="K3" s="12"/>
      <c r="L3" s="12"/>
      <c r="M3" s="12"/>
      <c r="N3" s="12"/>
      <c r="O3" s="12"/>
      <c r="P3" s="12"/>
      <c r="Q3" s="12"/>
      <c r="R3" s="22">
        <v>-5.6055410022285597E-2</v>
      </c>
      <c r="S3" s="12"/>
      <c r="T3" s="22">
        <v>-4.1699306802151101E-2</v>
      </c>
      <c r="U3" s="22">
        <v>-5.6421784547435898</v>
      </c>
      <c r="V3" s="22">
        <v>-3.19073616436489E-2</v>
      </c>
      <c r="W3" s="12"/>
      <c r="X3" s="12"/>
      <c r="Y3" s="12"/>
      <c r="Z3" s="12"/>
      <c r="AA3" s="12"/>
      <c r="AB3" s="12"/>
      <c r="AC3" s="12"/>
      <c r="AD3" s="12"/>
      <c r="AE3" s="22">
        <v>-1.6257257393770201E-2</v>
      </c>
    </row>
    <row r="4" spans="1:31" x14ac:dyDescent="0.2">
      <c r="A4" s="3">
        <v>3</v>
      </c>
      <c r="B4" s="4" t="s">
        <v>16</v>
      </c>
      <c r="C4" s="5" t="s">
        <v>132</v>
      </c>
      <c r="D4" s="4" t="s">
        <v>5</v>
      </c>
      <c r="E4" s="4" t="s">
        <v>132</v>
      </c>
      <c r="F4" s="4" t="s">
        <v>77</v>
      </c>
      <c r="G4" s="4" t="s">
        <v>118</v>
      </c>
      <c r="H4" s="23"/>
      <c r="I4" s="21">
        <v>-0.20852526004475</v>
      </c>
      <c r="J4" s="21">
        <v>-0.48662457284321797</v>
      </c>
      <c r="K4" s="23"/>
      <c r="L4" s="23"/>
      <c r="M4" s="23"/>
      <c r="N4" s="23"/>
      <c r="O4" s="23"/>
      <c r="P4" s="23"/>
      <c r="Q4" s="23"/>
      <c r="R4" s="21">
        <v>-5.6912120040045699E-2</v>
      </c>
      <c r="S4" s="23"/>
      <c r="T4" s="21">
        <v>-4.1368141368062203E-2</v>
      </c>
      <c r="U4" s="21">
        <v>-5.6464588775270199</v>
      </c>
      <c r="V4" s="21">
        <v>-2.9819398101208199E-2</v>
      </c>
      <c r="W4" s="23"/>
      <c r="X4" s="23"/>
      <c r="Y4" s="23"/>
      <c r="Z4" s="23"/>
      <c r="AA4" s="23"/>
      <c r="AB4" s="23"/>
      <c r="AC4" s="23"/>
      <c r="AD4" s="23"/>
      <c r="AE4" s="21">
        <v>-1.61627884275455E-2</v>
      </c>
    </row>
    <row r="5" spans="1:31" x14ac:dyDescent="0.2">
      <c r="A5" s="3">
        <v>4</v>
      </c>
      <c r="B5" s="7" t="s">
        <v>16</v>
      </c>
      <c r="C5" s="8" t="s">
        <v>132</v>
      </c>
      <c r="D5" s="7" t="s">
        <v>87</v>
      </c>
      <c r="E5" s="7" t="s">
        <v>132</v>
      </c>
      <c r="F5" s="7" t="s">
        <v>111</v>
      </c>
      <c r="G5" s="7" t="s">
        <v>118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x14ac:dyDescent="0.2">
      <c r="A6" s="3">
        <v>5</v>
      </c>
      <c r="B6" s="4" t="s">
        <v>37</v>
      </c>
      <c r="C6" s="5" t="s">
        <v>132</v>
      </c>
      <c r="D6" s="4" t="s">
        <v>136</v>
      </c>
      <c r="E6" s="4" t="s">
        <v>132</v>
      </c>
      <c r="F6" s="4" t="s">
        <v>89</v>
      </c>
      <c r="G6" s="4" t="s">
        <v>118</v>
      </c>
      <c r="H6" s="21">
        <v>5</v>
      </c>
      <c r="I6" s="21">
        <v>5</v>
      </c>
      <c r="J6" s="21">
        <v>5</v>
      </c>
      <c r="K6" s="21">
        <v>25</v>
      </c>
      <c r="L6" s="21">
        <v>25</v>
      </c>
      <c r="M6" s="21">
        <v>25</v>
      </c>
      <c r="N6" s="21">
        <v>5</v>
      </c>
      <c r="O6" s="21">
        <v>5</v>
      </c>
      <c r="P6" s="21">
        <v>5</v>
      </c>
      <c r="Q6" s="21">
        <v>5</v>
      </c>
      <c r="R6" s="21">
        <v>5</v>
      </c>
      <c r="S6" s="21">
        <v>5</v>
      </c>
      <c r="T6" s="21">
        <v>5</v>
      </c>
      <c r="U6" s="21">
        <v>5</v>
      </c>
      <c r="V6" s="21">
        <v>5</v>
      </c>
      <c r="W6" s="21">
        <v>5</v>
      </c>
      <c r="X6" s="21">
        <v>5</v>
      </c>
      <c r="Y6" s="21">
        <v>5</v>
      </c>
      <c r="Z6" s="21">
        <v>5</v>
      </c>
      <c r="AA6" s="21">
        <v>5</v>
      </c>
      <c r="AB6" s="21">
        <v>5</v>
      </c>
      <c r="AC6" s="21">
        <v>5</v>
      </c>
      <c r="AD6" s="21">
        <v>5</v>
      </c>
      <c r="AE6" s="21">
        <v>5</v>
      </c>
    </row>
    <row r="7" spans="1:31" x14ac:dyDescent="0.2">
      <c r="A7" s="3">
        <v>6</v>
      </c>
      <c r="B7" s="7" t="s">
        <v>52</v>
      </c>
      <c r="C7" s="8" t="s">
        <v>132</v>
      </c>
      <c r="D7" s="7" t="s">
        <v>86</v>
      </c>
      <c r="E7" s="7" t="s">
        <v>132</v>
      </c>
      <c r="F7" s="7" t="s">
        <v>113</v>
      </c>
      <c r="G7" s="7" t="s">
        <v>118</v>
      </c>
      <c r="H7" s="22">
        <v>19.694258083558001</v>
      </c>
      <c r="I7" s="22">
        <v>20.085958528389099</v>
      </c>
      <c r="J7" s="22">
        <v>19.7946393842448</v>
      </c>
      <c r="K7" s="22">
        <v>102.323937228429</v>
      </c>
      <c r="L7" s="22">
        <v>99.631190495764699</v>
      </c>
      <c r="M7" s="22">
        <v>100.16284381394399</v>
      </c>
      <c r="N7" s="22">
        <v>20.247384464611901</v>
      </c>
      <c r="O7" s="22">
        <v>19.925588254396299</v>
      </c>
      <c r="P7" s="22">
        <v>20.136593272675398</v>
      </c>
      <c r="Q7" s="22">
        <v>19.922219584109101</v>
      </c>
      <c r="R7" s="22">
        <v>20.093174984868799</v>
      </c>
      <c r="S7" s="22">
        <v>21.645219629216399</v>
      </c>
      <c r="T7" s="22">
        <v>19.836081232381002</v>
      </c>
      <c r="U7" s="22">
        <v>19.844824813201999</v>
      </c>
      <c r="V7" s="22">
        <v>20.093658566336298</v>
      </c>
      <c r="W7" s="22">
        <v>20.049102927103402</v>
      </c>
      <c r="X7" s="22">
        <v>20.022698845733299</v>
      </c>
      <c r="Y7" s="22">
        <v>19.793115433048801</v>
      </c>
      <c r="Z7" s="22">
        <v>20.108741511251498</v>
      </c>
      <c r="AA7" s="22">
        <v>19.955309774352401</v>
      </c>
      <c r="AB7" s="22">
        <v>19.942565802814102</v>
      </c>
      <c r="AC7" s="22">
        <v>20.069591763137201</v>
      </c>
      <c r="AD7" s="22">
        <v>20.075884665972801</v>
      </c>
      <c r="AE7" s="22">
        <v>19.943199141560299</v>
      </c>
    </row>
    <row r="8" spans="1:31" x14ac:dyDescent="0.2">
      <c r="A8" s="3">
        <v>7</v>
      </c>
      <c r="B8" s="4" t="s">
        <v>41</v>
      </c>
      <c r="C8" s="5" t="s">
        <v>132</v>
      </c>
      <c r="D8" s="4" t="s">
        <v>116</v>
      </c>
      <c r="E8" s="4" t="s">
        <v>132</v>
      </c>
      <c r="F8" s="4" t="s">
        <v>144</v>
      </c>
      <c r="G8" s="4" t="s">
        <v>118</v>
      </c>
      <c r="H8" s="21">
        <v>49.992265141743999</v>
      </c>
      <c r="I8" s="21">
        <v>49.4833805252673</v>
      </c>
      <c r="J8" s="21">
        <v>49.441097809690604</v>
      </c>
      <c r="K8" s="21">
        <v>245.98479106638399</v>
      </c>
      <c r="L8" s="21">
        <v>251.63757184623901</v>
      </c>
      <c r="M8" s="21">
        <v>247.934301497012</v>
      </c>
      <c r="N8" s="21">
        <v>49.976905172785301</v>
      </c>
      <c r="O8" s="21">
        <v>50.772708913242099</v>
      </c>
      <c r="P8" s="21">
        <v>49.9379620438609</v>
      </c>
      <c r="Q8" s="21">
        <v>50.612628849178897</v>
      </c>
      <c r="R8" s="21">
        <v>49.320263085487099</v>
      </c>
      <c r="S8" s="21">
        <v>53.056129503237699</v>
      </c>
      <c r="T8" s="21">
        <v>50.621477664537402</v>
      </c>
      <c r="U8" s="21">
        <v>50.119764492361803</v>
      </c>
      <c r="V8" s="21">
        <v>49.676070285405601</v>
      </c>
      <c r="W8" s="21">
        <v>48.0555932396313</v>
      </c>
      <c r="X8" s="21">
        <v>52.647773980363503</v>
      </c>
      <c r="Y8" s="21">
        <v>50.561900019825799</v>
      </c>
      <c r="Z8" s="21">
        <v>50.244572993481803</v>
      </c>
      <c r="AA8" s="21">
        <v>50.206482950003597</v>
      </c>
      <c r="AB8" s="21">
        <v>50.293736654043002</v>
      </c>
      <c r="AC8" s="21">
        <v>49.849676801839401</v>
      </c>
      <c r="AD8" s="21">
        <v>49.5446503576254</v>
      </c>
      <c r="AE8" s="21">
        <v>50.392887345576497</v>
      </c>
    </row>
    <row r="9" spans="1:31" x14ac:dyDescent="0.2">
      <c r="A9" s="3">
        <v>8</v>
      </c>
      <c r="B9" s="7" t="s">
        <v>105</v>
      </c>
      <c r="C9" s="8" t="s">
        <v>132</v>
      </c>
      <c r="D9" s="7" t="s">
        <v>157</v>
      </c>
      <c r="E9" s="7" t="s">
        <v>132</v>
      </c>
      <c r="F9" s="7" t="s">
        <v>90</v>
      </c>
      <c r="G9" s="7" t="s">
        <v>118</v>
      </c>
      <c r="H9" s="22">
        <v>200.27006382619001</v>
      </c>
      <c r="I9" s="22">
        <v>201.20344311700501</v>
      </c>
      <c r="J9" s="22">
        <v>200.28018310665601</v>
      </c>
      <c r="K9" s="22">
        <v>996.62857078448201</v>
      </c>
      <c r="L9" s="22">
        <v>1004.20563149513</v>
      </c>
      <c r="M9" s="22">
        <v>999.27821873900405</v>
      </c>
      <c r="N9" s="22">
        <v>199.77720955891201</v>
      </c>
      <c r="O9" s="22">
        <v>199.46977398712301</v>
      </c>
      <c r="P9" s="22">
        <v>200.103808092218</v>
      </c>
      <c r="Q9" s="22">
        <v>200.32342623857201</v>
      </c>
      <c r="R9" s="22">
        <v>200.998761351219</v>
      </c>
      <c r="S9" s="22">
        <v>202.80334336819999</v>
      </c>
      <c r="T9" s="22">
        <v>200.37895985002501</v>
      </c>
      <c r="U9" s="22">
        <v>200.126091146482</v>
      </c>
      <c r="V9" s="22">
        <v>201.782863034889</v>
      </c>
      <c r="W9" s="22">
        <v>200.06090135503101</v>
      </c>
      <c r="X9" s="22">
        <v>200.91120982822099</v>
      </c>
      <c r="Y9" s="22">
        <v>199.679230714049</v>
      </c>
      <c r="Z9" s="22">
        <v>200.863557156019</v>
      </c>
      <c r="AA9" s="22">
        <v>199.73367473386</v>
      </c>
      <c r="AB9" s="22">
        <v>200.10363505342201</v>
      </c>
      <c r="AC9" s="22">
        <v>200.59326933727701</v>
      </c>
      <c r="AD9" s="22">
        <v>200.70287452006201</v>
      </c>
      <c r="AE9" s="22">
        <v>199.607200361834</v>
      </c>
    </row>
    <row r="10" spans="1:31" x14ac:dyDescent="0.2">
      <c r="A10" s="3">
        <v>9</v>
      </c>
      <c r="B10" s="4" t="s">
        <v>3</v>
      </c>
      <c r="C10" s="5" t="s">
        <v>132</v>
      </c>
      <c r="D10" s="4" t="s">
        <v>72</v>
      </c>
      <c r="E10" s="4" t="s">
        <v>132</v>
      </c>
      <c r="F10" s="4" t="s">
        <v>109</v>
      </c>
      <c r="G10" s="4" t="s">
        <v>118</v>
      </c>
      <c r="H10" s="21">
        <v>499.08309498343698</v>
      </c>
      <c r="I10" s="21">
        <v>502.56146762984702</v>
      </c>
      <c r="J10" s="21">
        <v>498.99482338759702</v>
      </c>
      <c r="K10" s="21">
        <v>2475.0831731769999</v>
      </c>
      <c r="L10" s="21">
        <v>2480.2832681927698</v>
      </c>
      <c r="M10" s="21">
        <v>2495.1371843882998</v>
      </c>
      <c r="N10" s="21">
        <v>498.00308663899102</v>
      </c>
      <c r="O10" s="21">
        <v>496.64145010532297</v>
      </c>
      <c r="P10" s="21">
        <v>497.64489340579399</v>
      </c>
      <c r="Q10" s="21">
        <v>497.64430877642599</v>
      </c>
      <c r="R10" s="21">
        <v>501.84487845579599</v>
      </c>
      <c r="S10" s="21">
        <v>505.34059860587502</v>
      </c>
      <c r="T10" s="21">
        <v>494.64102410548497</v>
      </c>
      <c r="U10" s="21">
        <v>497.99152575881101</v>
      </c>
      <c r="V10" s="21">
        <v>498.214562872329</v>
      </c>
      <c r="W10" s="21">
        <v>499.271842458869</v>
      </c>
      <c r="X10" s="21">
        <v>502.77072148238301</v>
      </c>
      <c r="Y10" s="21">
        <v>494.865921322811</v>
      </c>
      <c r="Z10" s="21">
        <v>499.26357633435401</v>
      </c>
      <c r="AA10" s="21">
        <v>512.13942423606102</v>
      </c>
      <c r="AB10" s="21">
        <v>499.78175665976499</v>
      </c>
      <c r="AC10" s="21">
        <v>498.08779913965401</v>
      </c>
      <c r="AD10" s="21">
        <v>499.51477496819399</v>
      </c>
      <c r="AE10" s="21">
        <v>497.75989874153299</v>
      </c>
    </row>
    <row r="11" spans="1:31" x14ac:dyDescent="0.2">
      <c r="A11" s="3">
        <v>10</v>
      </c>
      <c r="B11" s="7" t="s">
        <v>88</v>
      </c>
      <c r="C11" s="8" t="s">
        <v>132</v>
      </c>
      <c r="D11" s="7" t="s">
        <v>4</v>
      </c>
      <c r="E11" s="7" t="s">
        <v>132</v>
      </c>
      <c r="F11" s="7" t="s">
        <v>29</v>
      </c>
      <c r="G11" s="7" t="s">
        <v>118</v>
      </c>
      <c r="H11" s="22">
        <v>1991.7794759138701</v>
      </c>
      <c r="I11" s="22">
        <v>2001.61976723362</v>
      </c>
      <c r="J11" s="22">
        <v>2003.0666662992601</v>
      </c>
      <c r="K11" s="22">
        <v>9924.5410665754207</v>
      </c>
      <c r="L11" s="22">
        <v>9935.26340796351</v>
      </c>
      <c r="M11" s="22">
        <v>9972.44458187292</v>
      </c>
      <c r="N11" s="22">
        <v>1996.83068163946</v>
      </c>
      <c r="O11" s="22">
        <v>1995.1763967090001</v>
      </c>
      <c r="P11" s="22">
        <v>1994.7861933293</v>
      </c>
      <c r="Q11" s="22">
        <v>2011.3280197251199</v>
      </c>
      <c r="R11" s="22">
        <v>2005.1750896968799</v>
      </c>
      <c r="S11" s="22">
        <v>2012.0669126752</v>
      </c>
      <c r="T11" s="22">
        <v>1991.2860500689401</v>
      </c>
      <c r="U11" s="22">
        <v>1983.3989357551</v>
      </c>
      <c r="V11" s="22">
        <v>1991.5981454611399</v>
      </c>
      <c r="W11" s="22">
        <v>2000.9578409706701</v>
      </c>
      <c r="X11" s="22">
        <v>2016.8220392166099</v>
      </c>
      <c r="Y11" s="22">
        <v>1988.5526810783499</v>
      </c>
      <c r="Z11" s="22">
        <v>1994.5184277839101</v>
      </c>
      <c r="AA11" s="22">
        <v>2006.6944015819199</v>
      </c>
      <c r="AB11" s="22">
        <v>1987.06812894887</v>
      </c>
      <c r="AC11" s="22">
        <v>1983.2526078396399</v>
      </c>
      <c r="AD11" s="22">
        <v>1991.9955737467301</v>
      </c>
      <c r="AE11" s="22">
        <v>1993.47059188809</v>
      </c>
    </row>
    <row r="12" spans="1:31" x14ac:dyDescent="0.2">
      <c r="A12" s="3">
        <v>11</v>
      </c>
      <c r="B12" s="10" t="s">
        <v>83</v>
      </c>
      <c r="C12" s="3" t="s">
        <v>132</v>
      </c>
      <c r="D12" s="10" t="s">
        <v>4</v>
      </c>
      <c r="E12" s="10" t="s">
        <v>132</v>
      </c>
      <c r="F12" s="10" t="s">
        <v>132</v>
      </c>
      <c r="G12" s="10" t="s">
        <v>132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x14ac:dyDescent="0.2">
      <c r="A13" s="3">
        <v>12</v>
      </c>
      <c r="B13" s="7" t="s">
        <v>56</v>
      </c>
      <c r="C13" s="8" t="s">
        <v>132</v>
      </c>
      <c r="D13" s="7" t="s">
        <v>104</v>
      </c>
      <c r="E13" s="7" t="s">
        <v>132</v>
      </c>
      <c r="F13" s="7" t="s">
        <v>147</v>
      </c>
      <c r="G13" s="7" t="s">
        <v>118</v>
      </c>
      <c r="H13" s="22">
        <v>6.67632348385761</v>
      </c>
      <c r="I13" s="22">
        <v>6.41102946539048</v>
      </c>
      <c r="J13" s="22">
        <v>6.9431558738413504</v>
      </c>
      <c r="K13" s="22">
        <v>-53.285662067744099</v>
      </c>
      <c r="L13" s="22">
        <v>38.190347558555302</v>
      </c>
      <c r="M13" s="22">
        <v>38.911372973571901</v>
      </c>
      <c r="N13" s="22">
        <v>13.011251514825799</v>
      </c>
      <c r="O13" s="22">
        <v>9.9442300275878406</v>
      </c>
      <c r="P13" s="22">
        <v>11.322637097230301</v>
      </c>
      <c r="Q13" s="22">
        <v>5.6041243263491101</v>
      </c>
      <c r="R13" s="22">
        <v>6.3079170329861904</v>
      </c>
      <c r="S13" s="22">
        <v>-9.1498039947846603</v>
      </c>
      <c r="T13" s="22">
        <v>8.1463688400774199</v>
      </c>
      <c r="U13" s="22">
        <v>9.0241694499005707</v>
      </c>
      <c r="V13" s="22">
        <v>6.8710044047944896</v>
      </c>
      <c r="W13" s="22">
        <v>6.3167592472045602</v>
      </c>
      <c r="X13" s="22">
        <v>2.0474282529894801</v>
      </c>
      <c r="Y13" s="22">
        <v>9.2261331819771595</v>
      </c>
      <c r="Z13" s="22">
        <v>6.33062112079228</v>
      </c>
      <c r="AA13" s="22">
        <v>12.448948497741601</v>
      </c>
      <c r="AB13" s="22">
        <v>7.6782240070854302</v>
      </c>
      <c r="AC13" s="22">
        <v>7.9703989165970697</v>
      </c>
      <c r="AD13" s="22">
        <v>7.7779967295996402</v>
      </c>
      <c r="AE13" s="22">
        <v>8.3790682248809194</v>
      </c>
    </row>
    <row r="14" spans="1:31" x14ac:dyDescent="0.2">
      <c r="A14" s="3">
        <v>13</v>
      </c>
      <c r="B14" s="4" t="s">
        <v>76</v>
      </c>
      <c r="C14" s="5" t="s">
        <v>132</v>
      </c>
      <c r="D14" s="4" t="s">
        <v>48</v>
      </c>
      <c r="E14" s="4" t="s">
        <v>132</v>
      </c>
      <c r="F14" s="4" t="s">
        <v>53</v>
      </c>
      <c r="G14" s="4" t="s">
        <v>118</v>
      </c>
      <c r="H14" s="21">
        <v>-1.58552156066133</v>
      </c>
      <c r="I14" s="21">
        <v>0.158084601645678</v>
      </c>
      <c r="J14" s="21">
        <v>-0.17511653531472099</v>
      </c>
      <c r="K14" s="21">
        <v>-29.3714323257628</v>
      </c>
      <c r="L14" s="21">
        <v>5.3530162293315504</v>
      </c>
      <c r="M14" s="21">
        <v>7.1691192967228599</v>
      </c>
      <c r="N14" s="21">
        <v>-1.4295569642419801</v>
      </c>
      <c r="O14" s="21">
        <v>-2.4514846016089402</v>
      </c>
      <c r="P14" s="21">
        <v>-2.75625343203791</v>
      </c>
      <c r="Q14" s="21">
        <v>-3.1035613687424899</v>
      </c>
      <c r="R14" s="21">
        <v>0.363087448126521</v>
      </c>
      <c r="S14" s="21">
        <v>-13.6658436574678</v>
      </c>
      <c r="T14" s="21">
        <v>0.40087105976399801</v>
      </c>
      <c r="U14" s="21">
        <v>-6.3785303191574299</v>
      </c>
      <c r="V14" s="21">
        <v>0.39544464964738402</v>
      </c>
      <c r="W14" s="21">
        <v>-0.48942661138482901</v>
      </c>
      <c r="X14" s="21">
        <v>-2.6579334252983302</v>
      </c>
      <c r="Y14" s="21">
        <v>0.40088644833173098</v>
      </c>
      <c r="Z14" s="21">
        <v>0.362193149223273</v>
      </c>
      <c r="AA14" s="21">
        <v>2.81735458421144</v>
      </c>
      <c r="AB14" s="21">
        <v>0.39591891415299701</v>
      </c>
      <c r="AC14" s="21">
        <v>0.49419011753156</v>
      </c>
      <c r="AD14" s="21">
        <v>0.50601369048216605</v>
      </c>
      <c r="AE14" s="21">
        <v>0.52623020903454398</v>
      </c>
    </row>
    <row r="15" spans="1:31" x14ac:dyDescent="0.2">
      <c r="A15" s="3">
        <v>14</v>
      </c>
      <c r="B15" s="7" t="s">
        <v>130</v>
      </c>
      <c r="C15" s="8" t="s">
        <v>132</v>
      </c>
      <c r="D15" s="7" t="s">
        <v>153</v>
      </c>
      <c r="E15" s="7" t="s">
        <v>132</v>
      </c>
      <c r="F15" s="7" t="s">
        <v>73</v>
      </c>
      <c r="G15" s="7" t="s">
        <v>118</v>
      </c>
      <c r="H15" s="22">
        <v>201.35120703640101</v>
      </c>
      <c r="I15" s="22">
        <v>208.49196207403301</v>
      </c>
      <c r="J15" s="22">
        <v>219.76826112736501</v>
      </c>
      <c r="K15" s="22">
        <v>516.66798508640704</v>
      </c>
      <c r="L15" s="22">
        <v>998.59336696037803</v>
      </c>
      <c r="M15" s="22">
        <v>984.99681730806401</v>
      </c>
      <c r="N15" s="22">
        <v>201.779463933562</v>
      </c>
      <c r="O15" s="22">
        <v>209.19940839157499</v>
      </c>
      <c r="P15" s="22">
        <v>202.53148402337601</v>
      </c>
      <c r="Q15" s="22">
        <v>170.2605013873</v>
      </c>
      <c r="R15" s="22">
        <v>204.285606610201</v>
      </c>
      <c r="S15" s="22">
        <v>207.22879666882699</v>
      </c>
      <c r="T15" s="22">
        <v>214.34705239845201</v>
      </c>
      <c r="U15" s="22">
        <v>194.42847016575101</v>
      </c>
      <c r="V15" s="22">
        <v>197.43386090166101</v>
      </c>
      <c r="W15" s="22">
        <v>207.84841558634699</v>
      </c>
      <c r="X15" s="22">
        <v>202.661182833342</v>
      </c>
      <c r="Y15" s="22">
        <v>221.24602774521099</v>
      </c>
      <c r="Z15" s="22">
        <v>199.42728118070499</v>
      </c>
      <c r="AA15" s="22">
        <v>188.64447988505901</v>
      </c>
      <c r="AB15" s="22">
        <v>206.46933154195099</v>
      </c>
      <c r="AC15" s="22">
        <v>219.71606318642799</v>
      </c>
      <c r="AD15" s="22">
        <v>223.883221879589</v>
      </c>
      <c r="AE15" s="22">
        <v>233.930456546378</v>
      </c>
    </row>
    <row r="16" spans="1:31" x14ac:dyDescent="0.2">
      <c r="A16" s="3">
        <v>15</v>
      </c>
      <c r="B16" s="4" t="s">
        <v>13</v>
      </c>
      <c r="C16" s="5" t="s">
        <v>132</v>
      </c>
      <c r="D16" s="4" t="s">
        <v>54</v>
      </c>
      <c r="E16" s="4" t="s">
        <v>132</v>
      </c>
      <c r="F16" s="4" t="s">
        <v>103</v>
      </c>
      <c r="G16" s="4" t="s">
        <v>118</v>
      </c>
      <c r="H16" s="21">
        <v>0.72817532793739603</v>
      </c>
      <c r="I16" s="21">
        <v>0.64600250885750099</v>
      </c>
      <c r="J16" s="21">
        <v>0.66266984523940298</v>
      </c>
      <c r="K16" s="21">
        <v>-92.271239171231599</v>
      </c>
      <c r="L16" s="21">
        <v>4.7131405723470499</v>
      </c>
      <c r="M16" s="21">
        <v>8.8321426801833791</v>
      </c>
      <c r="N16" s="21">
        <v>0.91160427558778501</v>
      </c>
      <c r="O16" s="21">
        <v>-0.109083437891057</v>
      </c>
      <c r="P16" s="21">
        <v>0.49525970064054697</v>
      </c>
      <c r="Q16" s="21">
        <v>-1.0953176916893499</v>
      </c>
      <c r="R16" s="21">
        <v>0.679084841692699</v>
      </c>
      <c r="S16" s="21">
        <v>-12.8851159355367</v>
      </c>
      <c r="T16" s="21">
        <v>0.90040427358274699</v>
      </c>
      <c r="U16" s="21">
        <v>1.44917319091505</v>
      </c>
      <c r="V16" s="21">
        <v>0.72937303973685796</v>
      </c>
      <c r="W16" s="21">
        <v>6.59601864369352E-2</v>
      </c>
      <c r="X16" s="21">
        <v>-5.77408078433991</v>
      </c>
      <c r="Y16" s="21">
        <v>1.06905440728709</v>
      </c>
      <c r="Z16" s="21">
        <v>0.63287850603642704</v>
      </c>
      <c r="AA16" s="21">
        <v>2.3965791377187098</v>
      </c>
      <c r="AB16" s="21">
        <v>0.76701471776810903</v>
      </c>
      <c r="AC16" s="21">
        <v>0.83667089552602403</v>
      </c>
      <c r="AD16" s="21">
        <v>0.79055322387961202</v>
      </c>
      <c r="AE16" s="21">
        <v>0.88849536900485804</v>
      </c>
    </row>
    <row r="17" spans="1:31" x14ac:dyDescent="0.2">
      <c r="A17" s="3">
        <v>16</v>
      </c>
      <c r="B17" s="7" t="s">
        <v>47</v>
      </c>
      <c r="C17" s="8" t="s">
        <v>132</v>
      </c>
      <c r="D17" s="7" t="s">
        <v>131</v>
      </c>
      <c r="E17" s="7" t="s">
        <v>132</v>
      </c>
      <c r="F17" s="7" t="s">
        <v>8</v>
      </c>
      <c r="G17" s="7" t="s">
        <v>118</v>
      </c>
      <c r="H17" s="22">
        <v>4.8777640131872797</v>
      </c>
      <c r="I17" s="22">
        <v>2.5634833762292</v>
      </c>
      <c r="J17" s="22">
        <v>4.2512014929692299</v>
      </c>
      <c r="K17" s="22">
        <v>-20.937573787191798</v>
      </c>
      <c r="L17" s="22">
        <v>12.1243795751334</v>
      </c>
      <c r="M17" s="22">
        <v>16.103190917243001</v>
      </c>
      <c r="N17" s="22">
        <v>2.7969729785184101</v>
      </c>
      <c r="O17" s="22">
        <v>2.7615665021196398</v>
      </c>
      <c r="P17" s="22">
        <v>2.7154717694554802</v>
      </c>
      <c r="Q17" s="22">
        <v>2.0622665693014</v>
      </c>
      <c r="R17" s="22">
        <v>2.4207330164009302</v>
      </c>
      <c r="S17" s="22">
        <v>-8.3945496685755199</v>
      </c>
      <c r="T17" s="22">
        <v>2.4560395601338199</v>
      </c>
      <c r="U17" s="22">
        <v>1.86893730900018</v>
      </c>
      <c r="V17" s="22">
        <v>2.32094235068584</v>
      </c>
      <c r="W17" s="22">
        <v>5.01546498452685</v>
      </c>
      <c r="X17" s="22">
        <v>-4.1053163899804996</v>
      </c>
      <c r="Y17" s="22">
        <v>2.6786620746003802</v>
      </c>
      <c r="Z17" s="22">
        <v>2.3061166300636202</v>
      </c>
      <c r="AA17" s="22">
        <v>2.8450921963079399</v>
      </c>
      <c r="AB17" s="22">
        <v>2.5197847018140598</v>
      </c>
      <c r="AC17" s="22">
        <v>2.71688101589706</v>
      </c>
      <c r="AD17" s="22">
        <v>2.7951010887568102</v>
      </c>
      <c r="AE17" s="22">
        <v>2.8478668149158102</v>
      </c>
    </row>
    <row r="18" spans="1:31" x14ac:dyDescent="0.2">
      <c r="A18" s="3">
        <v>17</v>
      </c>
      <c r="B18" s="4" t="s">
        <v>76</v>
      </c>
      <c r="C18" s="5" t="s">
        <v>132</v>
      </c>
      <c r="D18" s="4" t="s">
        <v>120</v>
      </c>
      <c r="E18" s="4" t="s">
        <v>132</v>
      </c>
      <c r="F18" s="4" t="s">
        <v>12</v>
      </c>
      <c r="G18" s="4" t="s">
        <v>118</v>
      </c>
      <c r="H18" s="21">
        <v>0.18537646807377101</v>
      </c>
      <c r="I18" s="21">
        <v>-4.3032849896293603E-3</v>
      </c>
      <c r="J18" s="21">
        <v>-0.13838948707604301</v>
      </c>
      <c r="K18" s="21">
        <v>-57.582033680049399</v>
      </c>
      <c r="L18" s="21">
        <v>0.74078926666594203</v>
      </c>
      <c r="M18" s="21">
        <v>6.4833835636294497</v>
      </c>
      <c r="N18" s="21">
        <v>-0.64226527370890196</v>
      </c>
      <c r="O18" s="21">
        <v>-1.4754888385242499</v>
      </c>
      <c r="P18" s="21">
        <v>-1.38669229133351</v>
      </c>
      <c r="Q18" s="21">
        <v>-1.9391789549059</v>
      </c>
      <c r="R18" s="21">
        <v>6.0200045172007404E-3</v>
      </c>
      <c r="S18" s="21">
        <v>-16.725085367125001</v>
      </c>
      <c r="T18" s="21">
        <v>9.2482873310171902E-3</v>
      </c>
      <c r="U18" s="21">
        <v>0.36831538457699398</v>
      </c>
      <c r="V18" s="21">
        <v>2.4621482796869501E-2</v>
      </c>
      <c r="W18" s="21">
        <v>-0.76327001248564597</v>
      </c>
      <c r="X18" s="21">
        <v>-8.7524358448930801</v>
      </c>
      <c r="Y18" s="21">
        <v>5.2245352184304997E-2</v>
      </c>
      <c r="Z18" s="21">
        <v>1.2776351092837999E-2</v>
      </c>
      <c r="AA18" s="21">
        <v>0.52510260092878802</v>
      </c>
      <c r="AB18" s="21">
        <v>1.2495296305826201E-2</v>
      </c>
      <c r="AC18" s="21">
        <v>2.68726118881937E-2</v>
      </c>
      <c r="AD18" s="21">
        <v>2.4996761200013599E-2</v>
      </c>
      <c r="AE18" s="21">
        <v>2.6740116086582898E-2</v>
      </c>
    </row>
    <row r="19" spans="1:31" x14ac:dyDescent="0.2">
      <c r="A19" s="3">
        <v>18</v>
      </c>
      <c r="B19" s="7" t="s">
        <v>69</v>
      </c>
      <c r="C19" s="8" t="s">
        <v>132</v>
      </c>
      <c r="D19" s="7" t="s">
        <v>102</v>
      </c>
      <c r="E19" s="7" t="s">
        <v>132</v>
      </c>
      <c r="F19" s="7" t="s">
        <v>93</v>
      </c>
      <c r="G19" s="7" t="s">
        <v>118</v>
      </c>
      <c r="H19" s="22">
        <v>2.8383275987279899</v>
      </c>
      <c r="I19" s="22">
        <v>0.19319698084424999</v>
      </c>
      <c r="J19" s="22">
        <v>1.90884635702817</v>
      </c>
      <c r="K19" s="22">
        <v>-16.514742934977001</v>
      </c>
      <c r="L19" s="22">
        <v>0.41024595501224698</v>
      </c>
      <c r="M19" s="22">
        <v>6.7440053196975001</v>
      </c>
      <c r="N19" s="22">
        <v>198.50449531394199</v>
      </c>
      <c r="O19" s="22">
        <v>316.04743033562499</v>
      </c>
      <c r="P19" s="22">
        <v>282.66832152180501</v>
      </c>
      <c r="Q19" s="22">
        <v>338.99644922388899</v>
      </c>
      <c r="R19" s="22">
        <v>-9.3006989149843004E-4</v>
      </c>
      <c r="S19" s="22">
        <v>-12.104143431997599</v>
      </c>
      <c r="T19" s="22">
        <v>-4.2375683767921103E-3</v>
      </c>
      <c r="U19" s="22">
        <v>-0.23012139195428699</v>
      </c>
      <c r="V19" s="22">
        <v>9.5722036583450795E-3</v>
      </c>
      <c r="W19" s="22">
        <v>2.1566141469034901</v>
      </c>
      <c r="X19" s="22">
        <v>-9.1295426956714003</v>
      </c>
      <c r="Y19" s="22">
        <v>-7.8962886841508605E-3</v>
      </c>
      <c r="Z19" s="22">
        <v>9.3119871628233892E-3</v>
      </c>
      <c r="AA19" s="22">
        <v>0.30985972180907601</v>
      </c>
      <c r="AB19" s="22">
        <v>2.08254417560796E-3</v>
      </c>
      <c r="AC19" s="22">
        <v>6.6736909424146796E-3</v>
      </c>
      <c r="AD19" s="22">
        <v>5.8985105641232698E-3</v>
      </c>
      <c r="AE19" s="22">
        <v>4.9651356120977196E-3</v>
      </c>
    </row>
    <row r="20" spans="1:31" x14ac:dyDescent="0.2">
      <c r="A20" s="3">
        <v>19</v>
      </c>
      <c r="B20" s="4" t="s">
        <v>55</v>
      </c>
      <c r="C20" s="5" t="s">
        <v>132</v>
      </c>
      <c r="D20" s="4" t="s">
        <v>156</v>
      </c>
      <c r="E20" s="4" t="s">
        <v>132</v>
      </c>
      <c r="F20" s="4" t="s">
        <v>106</v>
      </c>
      <c r="G20" s="4" t="s">
        <v>118</v>
      </c>
      <c r="H20" s="21">
        <v>214.80243241076201</v>
      </c>
      <c r="I20" s="21">
        <v>197.25327167341101</v>
      </c>
      <c r="J20" s="21">
        <v>194.972974651312</v>
      </c>
      <c r="K20" s="21">
        <v>1073.8548076576201</v>
      </c>
      <c r="L20" s="21">
        <v>1044.59999419069</v>
      </c>
      <c r="M20" s="21">
        <v>1019.78516464501</v>
      </c>
      <c r="N20" s="21">
        <v>197.032854366208</v>
      </c>
      <c r="O20" s="21">
        <v>199.675908716902</v>
      </c>
      <c r="P20" s="21">
        <v>200.56201262571801</v>
      </c>
      <c r="Q20" s="21">
        <v>181.57949756807199</v>
      </c>
      <c r="R20" s="21">
        <v>187.193546492434</v>
      </c>
      <c r="S20" s="21">
        <v>163.438747023384</v>
      </c>
      <c r="T20" s="21">
        <v>199.219747784307</v>
      </c>
      <c r="U20" s="21">
        <v>203.08770075907501</v>
      </c>
      <c r="V20" s="21">
        <v>207.851688649181</v>
      </c>
      <c r="W20" s="21">
        <v>202.68138934278099</v>
      </c>
      <c r="X20" s="21">
        <v>166.50656806754299</v>
      </c>
      <c r="Y20" s="21">
        <v>211.36815411608001</v>
      </c>
      <c r="Z20" s="21">
        <v>207.36105695349301</v>
      </c>
      <c r="AA20" s="21">
        <v>163.693320364507</v>
      </c>
      <c r="AB20" s="21">
        <v>209.666142214529</v>
      </c>
      <c r="AC20" s="21">
        <v>223.842104972524</v>
      </c>
      <c r="AD20" s="21">
        <v>215.360026227584</v>
      </c>
      <c r="AE20" s="21">
        <v>209.189565075037</v>
      </c>
    </row>
    <row r="21" spans="1:31" x14ac:dyDescent="0.2">
      <c r="A21" s="3">
        <v>20</v>
      </c>
      <c r="B21" s="7" t="s">
        <v>142</v>
      </c>
      <c r="C21" s="8" t="s">
        <v>132</v>
      </c>
      <c r="D21" s="7" t="s">
        <v>74</v>
      </c>
      <c r="E21" s="7" t="s">
        <v>132</v>
      </c>
      <c r="F21" s="7" t="s">
        <v>20</v>
      </c>
      <c r="G21" s="7" t="s">
        <v>118</v>
      </c>
      <c r="H21" s="22">
        <v>0.79457588515486199</v>
      </c>
      <c r="I21" s="22">
        <v>0.57487123674421003</v>
      </c>
      <c r="J21" s="22">
        <v>0.49561488534028902</v>
      </c>
      <c r="K21" s="22">
        <v>-38.967048277127297</v>
      </c>
      <c r="L21" s="22">
        <v>4.2368085096616497</v>
      </c>
      <c r="M21" s="22">
        <v>8.8980450122976897</v>
      </c>
      <c r="N21" s="22">
        <v>0.95304055959663303</v>
      </c>
      <c r="O21" s="22">
        <v>-0.61431106597740304</v>
      </c>
      <c r="P21" s="22">
        <v>7.5141704935206305E-2</v>
      </c>
      <c r="Q21" s="22">
        <v>-1.7715214097035901</v>
      </c>
      <c r="R21" s="22">
        <v>0.611857276812523</v>
      </c>
      <c r="S21" s="22">
        <v>-16.082384597451899</v>
      </c>
      <c r="T21" s="22">
        <v>0.75335151543475898</v>
      </c>
      <c r="U21" s="22">
        <v>1.1796372092841401</v>
      </c>
      <c r="V21" s="22">
        <v>0.66533123996020305</v>
      </c>
      <c r="W21" s="22">
        <v>-0.112080483503556</v>
      </c>
      <c r="X21" s="22">
        <v>-7.5288819923540098</v>
      </c>
      <c r="Y21" s="22">
        <v>0.86093296952655496</v>
      </c>
      <c r="Z21" s="22">
        <v>0.589661936363017</v>
      </c>
      <c r="AA21" s="22">
        <v>2.0469624049547401</v>
      </c>
      <c r="AB21" s="22">
        <v>0.71354163170391605</v>
      </c>
      <c r="AC21" s="22">
        <v>0.76882576300203598</v>
      </c>
      <c r="AD21" s="22">
        <v>0.72268034790888602</v>
      </c>
      <c r="AE21" s="22">
        <v>0.76164456920895296</v>
      </c>
    </row>
    <row r="22" spans="1:31" x14ac:dyDescent="0.2">
      <c r="A22" s="3">
        <v>21</v>
      </c>
      <c r="B22" s="4" t="s">
        <v>119</v>
      </c>
      <c r="C22" s="5" t="s">
        <v>132</v>
      </c>
      <c r="D22" s="4" t="s">
        <v>98</v>
      </c>
      <c r="E22" s="4" t="s">
        <v>132</v>
      </c>
      <c r="F22" s="4" t="s">
        <v>160</v>
      </c>
      <c r="G22" s="4" t="s">
        <v>118</v>
      </c>
      <c r="H22" s="21">
        <v>156.52293933379701</v>
      </c>
      <c r="I22" s="21">
        <v>39.401868757365399</v>
      </c>
      <c r="J22" s="21">
        <v>12.7383510724988</v>
      </c>
      <c r="K22" s="21">
        <v>2443.70483709782</v>
      </c>
      <c r="L22" s="21">
        <v>2.86822805465729</v>
      </c>
      <c r="M22" s="21">
        <v>332.74280798021601</v>
      </c>
      <c r="N22" s="21">
        <v>207.72834042729701</v>
      </c>
      <c r="O22" s="21">
        <v>343.36928477443098</v>
      </c>
      <c r="P22" s="21">
        <v>299.52119642374703</v>
      </c>
      <c r="Q22" s="21">
        <v>360.98095967939003</v>
      </c>
      <c r="R22" s="21">
        <v>0.14613113871951899</v>
      </c>
      <c r="S22" s="21">
        <v>-16.838949783103899</v>
      </c>
      <c r="T22" s="21">
        <v>2.3192372147457598E-3</v>
      </c>
      <c r="U22" s="21">
        <v>-6.7465287402148499</v>
      </c>
      <c r="V22" s="21">
        <v>0.22403233529759101</v>
      </c>
      <c r="W22" s="21">
        <v>-0.80461166451876998</v>
      </c>
      <c r="X22" s="21">
        <v>-11.090908940481899</v>
      </c>
      <c r="Y22" s="21">
        <v>7.5052557665651207E-2</v>
      </c>
      <c r="Z22" s="21">
        <v>0.89510879336801796</v>
      </c>
      <c r="AA22" s="21">
        <v>0.69214942902625998</v>
      </c>
      <c r="AB22" s="21">
        <v>5.3254276784096402E-2</v>
      </c>
      <c r="AC22" s="21">
        <v>7.7922548142397602E-2</v>
      </c>
      <c r="AD22" s="21">
        <v>7.9571350418129794E-2</v>
      </c>
      <c r="AE22" s="21">
        <v>8.1019378556210803E-2</v>
      </c>
    </row>
    <row r="23" spans="1:31" x14ac:dyDescent="0.2">
      <c r="A23" s="3">
        <v>22</v>
      </c>
      <c r="B23" s="7" t="s">
        <v>101</v>
      </c>
      <c r="C23" s="8" t="s">
        <v>132</v>
      </c>
      <c r="D23" s="7" t="s">
        <v>152</v>
      </c>
      <c r="E23" s="7" t="s">
        <v>132</v>
      </c>
      <c r="F23" s="7" t="s">
        <v>158</v>
      </c>
      <c r="G23" s="7" t="s">
        <v>118</v>
      </c>
      <c r="H23" s="22">
        <v>13811.324297987399</v>
      </c>
      <c r="I23" s="22">
        <v>31253.915687375498</v>
      </c>
      <c r="J23" s="22">
        <v>6.97126107401425</v>
      </c>
      <c r="K23" s="22">
        <v>9630.5237970067992</v>
      </c>
      <c r="L23" s="22">
        <v>10.309182328393801</v>
      </c>
      <c r="M23" s="22">
        <v>1724.9005768688401</v>
      </c>
      <c r="N23" s="22">
        <v>38522.244330114401</v>
      </c>
      <c r="O23" s="22">
        <v>65117.527015979598</v>
      </c>
      <c r="P23" s="22">
        <v>58848.309862723203</v>
      </c>
      <c r="Q23" s="22">
        <v>64841.339776805296</v>
      </c>
      <c r="R23" s="22">
        <v>1.27447884283778</v>
      </c>
      <c r="S23" s="22">
        <v>266.81256878356601</v>
      </c>
      <c r="T23" s="22">
        <v>0.11024424757965801</v>
      </c>
      <c r="U23" s="22">
        <v>-4.5610574354347797</v>
      </c>
      <c r="V23" s="22">
        <v>0.84189703698814899</v>
      </c>
      <c r="W23" s="22">
        <v>1.2094292491579099</v>
      </c>
      <c r="X23" s="22">
        <v>-12.6817202012032</v>
      </c>
      <c r="Y23" s="22">
        <v>0.26462846896749098</v>
      </c>
      <c r="Z23" s="22">
        <v>135.56160611836799</v>
      </c>
      <c r="AA23" s="22">
        <v>0.55310332444643995</v>
      </c>
      <c r="AB23" s="22">
        <v>1.75529385645239E-2</v>
      </c>
      <c r="AC23" s="22">
        <v>0.10021801788017801</v>
      </c>
      <c r="AD23" s="22">
        <v>0.105890465909259</v>
      </c>
      <c r="AE23" s="22">
        <v>0.11238702703926599</v>
      </c>
    </row>
    <row r="24" spans="1:31" x14ac:dyDescent="0.2">
      <c r="A24" s="3">
        <v>23</v>
      </c>
      <c r="B24" s="4" t="s">
        <v>16</v>
      </c>
      <c r="C24" s="5" t="s">
        <v>132</v>
      </c>
      <c r="D24" s="4" t="s">
        <v>24</v>
      </c>
      <c r="E24" s="4" t="s">
        <v>132</v>
      </c>
      <c r="F24" s="4" t="s">
        <v>30</v>
      </c>
      <c r="G24" s="4" t="s">
        <v>118</v>
      </c>
      <c r="H24" s="21">
        <v>36.513341353604297</v>
      </c>
      <c r="I24" s="21">
        <v>88.580149972300404</v>
      </c>
      <c r="J24" s="21">
        <v>-0.63368682500859097</v>
      </c>
      <c r="K24" s="21">
        <v>23.1235120770538</v>
      </c>
      <c r="L24" s="21">
        <v>4.5180060342798898</v>
      </c>
      <c r="M24" s="21">
        <v>11.5590933132973</v>
      </c>
      <c r="N24" s="21">
        <v>182.19309274729201</v>
      </c>
      <c r="O24" s="21">
        <v>181.08729647199499</v>
      </c>
      <c r="P24" s="21">
        <v>257.66127225737898</v>
      </c>
      <c r="Q24" s="21">
        <v>197.658483044109</v>
      </c>
      <c r="R24" s="21">
        <v>-5.2670572896971503E-2</v>
      </c>
      <c r="S24" s="21">
        <v>-13.797924387710699</v>
      </c>
      <c r="T24" s="21">
        <v>-4.21738860199532E-2</v>
      </c>
      <c r="U24" s="21">
        <v>-6.8150034804742701</v>
      </c>
      <c r="V24" s="21">
        <v>-1.1940484971884E-2</v>
      </c>
      <c r="W24" s="21">
        <v>-1.3441320765973299</v>
      </c>
      <c r="X24" s="21">
        <v>-9.6825739743472603</v>
      </c>
      <c r="Y24" s="21">
        <v>4.0046120653323899E-2</v>
      </c>
      <c r="Z24" s="21">
        <v>0.50649357443056497</v>
      </c>
      <c r="AA24" s="21">
        <v>0.26949864598822199</v>
      </c>
      <c r="AB24" s="21">
        <v>-9.9168674073263699E-4</v>
      </c>
      <c r="AC24" s="21">
        <v>1.7642809305375901E-2</v>
      </c>
      <c r="AD24" s="21">
        <v>1.5261962721915301E-2</v>
      </c>
      <c r="AE24" s="21">
        <v>1.4343908258187699E-2</v>
      </c>
    </row>
    <row r="25" spans="1:31" x14ac:dyDescent="0.2">
      <c r="A25" s="3">
        <v>24</v>
      </c>
      <c r="B25" s="7" t="s">
        <v>150</v>
      </c>
      <c r="C25" s="8" t="s">
        <v>132</v>
      </c>
      <c r="D25" s="7" t="s">
        <v>84</v>
      </c>
      <c r="E25" s="7" t="s">
        <v>132</v>
      </c>
      <c r="F25" s="7" t="s">
        <v>133</v>
      </c>
      <c r="G25" s="7" t="s">
        <v>118</v>
      </c>
      <c r="H25" s="22">
        <v>13205.4581423933</v>
      </c>
      <c r="I25" s="22">
        <v>28253.748408728999</v>
      </c>
      <c r="J25" s="22">
        <v>10.059499087522401</v>
      </c>
      <c r="K25" s="22">
        <v>7439.9268969772502</v>
      </c>
      <c r="L25" s="22">
        <v>73.866531092176999</v>
      </c>
      <c r="M25" s="22">
        <v>6380.7757414020998</v>
      </c>
      <c r="N25" s="22">
        <v>30063.814354570499</v>
      </c>
      <c r="O25" s="22">
        <v>46781.744162083502</v>
      </c>
      <c r="P25" s="22">
        <v>43616.929005363098</v>
      </c>
      <c r="Q25" s="22">
        <v>50206.116343117399</v>
      </c>
      <c r="R25" s="22">
        <v>5.8725191791372202</v>
      </c>
      <c r="S25" s="22">
        <v>258.105182506777</v>
      </c>
      <c r="T25" s="22">
        <v>0.119408187108448</v>
      </c>
      <c r="U25" s="22">
        <v>-4.8817664561929197</v>
      </c>
      <c r="V25" s="22">
        <v>1.33695367196241</v>
      </c>
      <c r="W25" s="22">
        <v>0.73781606320206095</v>
      </c>
      <c r="X25" s="22">
        <v>-16.5680167935088</v>
      </c>
      <c r="Y25" s="22">
        <v>0.28473615459693502</v>
      </c>
      <c r="Z25" s="22">
        <v>226.520723057011</v>
      </c>
      <c r="AA25" s="22">
        <v>0.29548615568393999</v>
      </c>
      <c r="AB25" s="22">
        <v>8.9252045464936394E-3</v>
      </c>
      <c r="AC25" s="22">
        <v>6.4822476579398505E-2</v>
      </c>
      <c r="AD25" s="22">
        <v>6.3524509931894693E-2</v>
      </c>
      <c r="AE25" s="22">
        <v>6.3586392699549799E-2</v>
      </c>
    </row>
    <row r="26" spans="1:31" x14ac:dyDescent="0.2">
      <c r="A26" s="3">
        <v>25</v>
      </c>
      <c r="B26" s="4" t="s">
        <v>16</v>
      </c>
      <c r="C26" s="5" t="s">
        <v>132</v>
      </c>
      <c r="D26" s="4" t="s">
        <v>100</v>
      </c>
      <c r="E26" s="4" t="s">
        <v>132</v>
      </c>
      <c r="F26" s="4" t="s">
        <v>43</v>
      </c>
      <c r="G26" s="4" t="s">
        <v>118</v>
      </c>
      <c r="H26" s="21">
        <v>41.171974580477098</v>
      </c>
      <c r="I26" s="21">
        <v>89.773780074564002</v>
      </c>
      <c r="J26" s="21">
        <v>-0.61934357379333504</v>
      </c>
      <c r="K26" s="21">
        <v>-10.6767729694908</v>
      </c>
      <c r="L26" s="21">
        <v>3.8509415953186399</v>
      </c>
      <c r="M26" s="21">
        <v>24.034492652311901</v>
      </c>
      <c r="N26" s="21">
        <v>120.61740280075</v>
      </c>
      <c r="O26" s="21">
        <v>161.93554295324199</v>
      </c>
      <c r="P26" s="21">
        <v>174.35989204229301</v>
      </c>
      <c r="Q26" s="21">
        <v>181.06678346725101</v>
      </c>
      <c r="R26" s="21">
        <v>-3.4748203316900601E-2</v>
      </c>
      <c r="S26" s="21">
        <v>-21.2929179419584</v>
      </c>
      <c r="T26" s="21">
        <v>-4.0799630970733303E-2</v>
      </c>
      <c r="U26" s="21">
        <v>-6.82173213192487</v>
      </c>
      <c r="V26" s="21">
        <v>-1.23352106567598E-2</v>
      </c>
      <c r="W26" s="21">
        <v>-1.41986890365785</v>
      </c>
      <c r="X26" s="21">
        <v>-12.727910339370901</v>
      </c>
      <c r="Y26" s="21">
        <v>3.8491018509937899E-2</v>
      </c>
      <c r="Z26" s="21">
        <v>0.85359592454599698</v>
      </c>
      <c r="AA26" s="21">
        <v>0.16293318249453401</v>
      </c>
      <c r="AB26" s="21">
        <v>-1.5866992016811199E-3</v>
      </c>
      <c r="AC26" s="21">
        <v>1.35959327220736E-2</v>
      </c>
      <c r="AD26" s="21">
        <v>1.2580787834905001E-2</v>
      </c>
      <c r="AE26" s="21">
        <v>1.25164087677587E-2</v>
      </c>
    </row>
    <row r="27" spans="1:31" x14ac:dyDescent="0.2">
      <c r="A27" s="3">
        <v>26</v>
      </c>
      <c r="B27" s="7" t="s">
        <v>137</v>
      </c>
      <c r="C27" s="8" t="s">
        <v>132</v>
      </c>
      <c r="D27" s="7" t="s">
        <v>122</v>
      </c>
      <c r="E27" s="7" t="s">
        <v>132</v>
      </c>
      <c r="F27" s="7" t="s">
        <v>49</v>
      </c>
      <c r="G27" s="7" t="s">
        <v>118</v>
      </c>
      <c r="H27" s="12" t="s">
        <v>25</v>
      </c>
      <c r="I27" s="22">
        <v>22494.8358805192</v>
      </c>
      <c r="J27" s="22">
        <v>92.337613196898801</v>
      </c>
      <c r="K27" s="22">
        <v>4090.4306556200299</v>
      </c>
      <c r="L27" s="22">
        <v>3791.6337320320199</v>
      </c>
      <c r="M27" s="22">
        <v>26193.098409960101</v>
      </c>
      <c r="N27" s="22">
        <v>45763.414236186603</v>
      </c>
      <c r="O27" s="22">
        <v>76882.884938569405</v>
      </c>
      <c r="P27" s="22">
        <v>64474.607674475003</v>
      </c>
      <c r="Q27" s="22">
        <v>83133.676259829794</v>
      </c>
      <c r="R27" s="22">
        <v>655.94371119677305</v>
      </c>
      <c r="S27" s="22">
        <v>4028.5507096104702</v>
      </c>
      <c r="T27" s="22">
        <v>0.92345523005887398</v>
      </c>
      <c r="U27" s="22">
        <v>-2.7483499406003302</v>
      </c>
      <c r="V27" s="22">
        <v>1.69479432617723</v>
      </c>
      <c r="W27" s="22">
        <v>6.8602417852694701</v>
      </c>
      <c r="X27" s="22">
        <v>-16.392403371405699</v>
      </c>
      <c r="Y27" s="22">
        <v>1.09732616221097</v>
      </c>
      <c r="Z27" s="22">
        <v>568.89408235020198</v>
      </c>
      <c r="AA27" s="22">
        <v>0.28248814746929901</v>
      </c>
      <c r="AB27" s="22">
        <v>2.2213911805434399E-2</v>
      </c>
      <c r="AC27" s="22">
        <v>0.14917811654163399</v>
      </c>
      <c r="AD27" s="22">
        <v>0.14421547545021399</v>
      </c>
      <c r="AE27" s="22">
        <v>0.142153414631079</v>
      </c>
    </row>
    <row r="28" spans="1:31" x14ac:dyDescent="0.2">
      <c r="A28" s="3">
        <v>27</v>
      </c>
      <c r="B28" s="4" t="s">
        <v>7</v>
      </c>
      <c r="C28" s="5" t="s">
        <v>132</v>
      </c>
      <c r="D28" s="4" t="s">
        <v>110</v>
      </c>
      <c r="E28" s="4" t="s">
        <v>132</v>
      </c>
      <c r="F28" s="4" t="s">
        <v>91</v>
      </c>
      <c r="G28" s="4" t="s">
        <v>118</v>
      </c>
      <c r="H28" s="21">
        <v>218.020226287556</v>
      </c>
      <c r="I28" s="21">
        <v>98.535245580374294</v>
      </c>
      <c r="J28" s="21">
        <v>30.613439395591499</v>
      </c>
      <c r="K28" s="21">
        <v>488.159069627718</v>
      </c>
      <c r="L28" s="21">
        <v>18.357994354214899</v>
      </c>
      <c r="M28" s="21">
        <v>14430.195544366101</v>
      </c>
      <c r="N28" s="21">
        <v>315.13528427227902</v>
      </c>
      <c r="O28" s="21">
        <v>331.91336123913902</v>
      </c>
      <c r="P28" s="21">
        <v>449.70634705107699</v>
      </c>
      <c r="Q28" s="21">
        <v>366.72034388781401</v>
      </c>
      <c r="R28" s="21">
        <v>4.8767506780329697</v>
      </c>
      <c r="S28" s="21">
        <v>-6.55147117776239</v>
      </c>
      <c r="T28" s="21">
        <v>-3.1838260816581601E-2</v>
      </c>
      <c r="U28" s="21">
        <v>-6.7672428576186903</v>
      </c>
      <c r="V28" s="21">
        <v>0.19146092384697699</v>
      </c>
      <c r="W28" s="21">
        <v>0.66896951368804902</v>
      </c>
      <c r="X28" s="21">
        <v>-17.370519117324601</v>
      </c>
      <c r="Y28" s="21">
        <v>4.6194052912821498E-2</v>
      </c>
      <c r="Z28" s="21">
        <v>2.2855278961645</v>
      </c>
      <c r="AA28" s="21">
        <v>0.11326242419614201</v>
      </c>
      <c r="AB28" s="21">
        <v>1.52720391168758E-2</v>
      </c>
      <c r="AC28" s="21">
        <v>3.1310058754446701E-2</v>
      </c>
      <c r="AD28" s="21">
        <v>3.2792922670326297E-2</v>
      </c>
      <c r="AE28" s="21">
        <v>3.4757357846275601E-2</v>
      </c>
    </row>
    <row r="29" spans="1:31" x14ac:dyDescent="0.2">
      <c r="A29" s="3">
        <v>28</v>
      </c>
      <c r="B29" s="7" t="s">
        <v>7</v>
      </c>
      <c r="C29" s="8" t="s">
        <v>132</v>
      </c>
      <c r="D29" s="7" t="s">
        <v>34</v>
      </c>
      <c r="E29" s="7" t="s">
        <v>132</v>
      </c>
      <c r="F29" s="7" t="s">
        <v>9</v>
      </c>
      <c r="G29" s="7" t="s">
        <v>118</v>
      </c>
      <c r="H29" s="22">
        <v>94.774596313860101</v>
      </c>
      <c r="I29" s="22">
        <v>13.4435411437771</v>
      </c>
      <c r="J29" s="22">
        <v>27.674761848016601</v>
      </c>
      <c r="K29" s="22">
        <v>454.31385217725</v>
      </c>
      <c r="L29" s="22">
        <v>5.0235891305469904</v>
      </c>
      <c r="M29" s="22">
        <v>15775.9520963015</v>
      </c>
      <c r="N29" s="22">
        <v>41.915000450146003</v>
      </c>
      <c r="O29" s="22">
        <v>54.398778682081897</v>
      </c>
      <c r="P29" s="22">
        <v>63.786612522612003</v>
      </c>
      <c r="Q29" s="22">
        <v>78.916740748595501</v>
      </c>
      <c r="R29" s="22">
        <v>2.5182222835087198</v>
      </c>
      <c r="S29" s="22">
        <v>-26.671912168085399</v>
      </c>
      <c r="T29" s="22">
        <v>-3.5760665989975703E-2</v>
      </c>
      <c r="U29" s="22">
        <v>-6.7795129265010603</v>
      </c>
      <c r="V29" s="22">
        <v>0.21263215761530099</v>
      </c>
      <c r="W29" s="22">
        <v>0.30664186877455901</v>
      </c>
      <c r="X29" s="22">
        <v>-20.287618838109001</v>
      </c>
      <c r="Y29" s="22">
        <v>5.8417502650601097E-2</v>
      </c>
      <c r="Z29" s="22">
        <v>0.33619387475864998</v>
      </c>
      <c r="AA29" s="22">
        <v>9.1517833917105093E-2</v>
      </c>
      <c r="AB29" s="22">
        <v>1.1106927954727499E-2</v>
      </c>
      <c r="AC29" s="22">
        <v>3.2907541523862202E-2</v>
      </c>
      <c r="AD29" s="22">
        <v>2.9492956780338701E-2</v>
      </c>
      <c r="AE29" s="22">
        <v>2.9188373356646601E-2</v>
      </c>
    </row>
    <row r="30" spans="1:31" x14ac:dyDescent="0.2">
      <c r="A30" s="3">
        <v>29</v>
      </c>
      <c r="B30" s="4" t="s">
        <v>145</v>
      </c>
      <c r="C30" s="5" t="s">
        <v>132</v>
      </c>
      <c r="D30" s="4" t="s">
        <v>80</v>
      </c>
      <c r="E30" s="4" t="s">
        <v>132</v>
      </c>
      <c r="F30" s="4" t="s">
        <v>108</v>
      </c>
      <c r="G30" s="4" t="s">
        <v>118</v>
      </c>
      <c r="H30" s="21">
        <v>189.69461870654001</v>
      </c>
      <c r="I30" s="21">
        <v>176.879828955124</v>
      </c>
      <c r="J30" s="21">
        <v>192.368000476899</v>
      </c>
      <c r="K30" s="21">
        <v>1013.1464977499199</v>
      </c>
      <c r="L30" s="21">
        <v>1000.4195519152</v>
      </c>
      <c r="M30" s="21">
        <v>915.39622205505395</v>
      </c>
      <c r="N30" s="21">
        <v>201.157637032195</v>
      </c>
      <c r="O30" s="21">
        <v>216.01415099819999</v>
      </c>
      <c r="P30" s="21">
        <v>206.421322278893</v>
      </c>
      <c r="Q30" s="21">
        <v>183.16241947874599</v>
      </c>
      <c r="R30" s="21">
        <v>153.80197733308901</v>
      </c>
      <c r="S30" s="21">
        <v>159.63148829833901</v>
      </c>
      <c r="T30" s="21">
        <v>199.56466663476499</v>
      </c>
      <c r="U30" s="21">
        <v>188.147703139344</v>
      </c>
      <c r="V30" s="21">
        <v>152.18284292790699</v>
      </c>
      <c r="W30" s="21">
        <v>169.92242837106599</v>
      </c>
      <c r="X30" s="21">
        <v>161.26289748946101</v>
      </c>
      <c r="Y30" s="21">
        <v>217.37441101089399</v>
      </c>
      <c r="Z30" s="21">
        <v>162.88974384474901</v>
      </c>
      <c r="AA30" s="21">
        <v>164.35005604893101</v>
      </c>
      <c r="AB30" s="21">
        <v>209.81693347290201</v>
      </c>
      <c r="AC30" s="21">
        <v>184.98344525847301</v>
      </c>
      <c r="AD30" s="21">
        <v>182.39253239462499</v>
      </c>
      <c r="AE30" s="21">
        <v>197.94293742596901</v>
      </c>
    </row>
    <row r="31" spans="1:31" x14ac:dyDescent="0.2">
      <c r="A31" s="3">
        <v>30</v>
      </c>
      <c r="B31" s="7" t="s">
        <v>71</v>
      </c>
      <c r="C31" s="8" t="s">
        <v>132</v>
      </c>
      <c r="D31" s="7" t="s">
        <v>115</v>
      </c>
      <c r="E31" s="7" t="s">
        <v>132</v>
      </c>
      <c r="F31" s="7" t="s">
        <v>68</v>
      </c>
      <c r="G31" s="7" t="s">
        <v>118</v>
      </c>
      <c r="H31" s="22">
        <v>0.75451796517397496</v>
      </c>
      <c r="I31" s="22">
        <v>0.65547441967890496</v>
      </c>
      <c r="J31" s="22">
        <v>0.59325209019493597</v>
      </c>
      <c r="K31" s="22">
        <v>-127.877621567251</v>
      </c>
      <c r="L31" s="22">
        <v>3.84299401019388</v>
      </c>
      <c r="M31" s="22">
        <v>7.5079451535665598</v>
      </c>
      <c r="N31" s="22">
        <v>0.80801247785049901</v>
      </c>
      <c r="O31" s="22">
        <v>-1.7740300046191999</v>
      </c>
      <c r="P31" s="22">
        <v>0.32447904177001002</v>
      </c>
      <c r="Q31" s="22">
        <v>1.1564022520400401</v>
      </c>
      <c r="R31" s="22">
        <v>0.55412428590192397</v>
      </c>
      <c r="S31" s="22">
        <v>-15.6938120931196</v>
      </c>
      <c r="T31" s="22">
        <v>0.72262221660862203</v>
      </c>
      <c r="U31" s="22">
        <v>0.46597718172650798</v>
      </c>
      <c r="V31" s="22">
        <v>0.57147721441657995</v>
      </c>
      <c r="W31" s="22">
        <v>-0.695648050750029</v>
      </c>
      <c r="X31" s="22">
        <v>-10.6771887508062</v>
      </c>
      <c r="Y31" s="22">
        <v>0.96622254556626297</v>
      </c>
      <c r="Z31" s="22">
        <v>0.59050913968152796</v>
      </c>
      <c r="AA31" s="22">
        <v>2.0928346232174699</v>
      </c>
      <c r="AB31" s="22">
        <v>0.77078300385481802</v>
      </c>
      <c r="AC31" s="22">
        <v>0.79174563688630895</v>
      </c>
      <c r="AD31" s="22">
        <v>0.79480067198996396</v>
      </c>
      <c r="AE31" s="22">
        <v>0.85852024618380796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"/>
  <sheetViews>
    <sheetView workbookViewId="0"/>
  </sheetViews>
  <sheetFormatPr defaultColWidth="9.140625" defaultRowHeight="12.7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"/>
  <sheetViews>
    <sheetView workbookViewId="0"/>
  </sheetViews>
  <sheetFormatPr defaultColWidth="9.1406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Concentrations</vt:lpstr>
      <vt:lpstr>Calibration</vt:lpstr>
      <vt:lpstr>QAQC</vt:lpstr>
      <vt:lpstr>Raw Results</vt:lpstr>
      <vt:lpstr>Processed Results</vt:lpstr>
      <vt:lpstr>Reported Results</vt:lpstr>
      <vt:lpstr>Raw Intensities</vt:lpstr>
      <vt:lpstr>Raw Intensities RSDs</vt:lpstr>
      <vt:lpstr>Net Intensities</vt:lpstr>
      <vt:lpstr>Net Intensities RSDs</vt:lpstr>
      <vt:lpstr>Concentrations RSDs</vt:lpstr>
      <vt:lpstr>Unfactored Concentrations</vt:lpstr>
      <vt:lpstr>Internal Standards</vt:lpstr>
      <vt:lpstr>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 Glinski</cp:lastModifiedBy>
  <dcterms:created xsi:type="dcterms:W3CDTF">2025-01-30T14:24:29Z</dcterms:created>
  <dcterms:modified xsi:type="dcterms:W3CDTF">2025-01-30T16:37:24Z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