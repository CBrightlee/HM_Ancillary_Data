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Christian Bright/"/>
    </mc:Choice>
  </mc:AlternateContent>
  <xr:revisionPtr revIDLastSave="307" documentId="11_F25DC773A252ABDACC104862495E7C7A5ADE58F2" xr6:coauthVersionLast="47" xr6:coauthVersionMax="47" xr10:uidLastSave="{73D2033E-3A78-4173-88AF-9FDA377746BB}"/>
  <bookViews>
    <workbookView xWindow="-120" yWindow="-120" windowWidth="29040" windowHeight="15840" xr2:uid="{00000000-000D-0000-FFFF-FFFF00000000}"/>
  </bookViews>
  <sheets>
    <sheet name="Data" sheetId="1" r:id="rId1"/>
    <sheet name="Charge Bal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3" i="2"/>
</calcChain>
</file>

<file path=xl/sharedStrings.xml><?xml version="1.0" encoding="utf-8"?>
<sst xmlns="http://schemas.openxmlformats.org/spreadsheetml/2006/main" count="67" uniqueCount="27">
  <si>
    <t>pH</t>
  </si>
  <si>
    <t>ANC</t>
  </si>
  <si>
    <t>Ammonia</t>
  </si>
  <si>
    <t>Dissolved Organic Carbon</t>
  </si>
  <si>
    <t>Total Nitrogen</t>
  </si>
  <si>
    <t>Silica</t>
  </si>
  <si>
    <t>Sodium</t>
  </si>
  <si>
    <t>Potassium</t>
  </si>
  <si>
    <t>Calcium</t>
  </si>
  <si>
    <t>Magnesium</t>
  </si>
  <si>
    <t>Aluminum</t>
  </si>
  <si>
    <t>ueq/L</t>
  </si>
  <si>
    <t>umol/L</t>
  </si>
  <si>
    <t>Analyte:</t>
  </si>
  <si>
    <t>Unit:</t>
  </si>
  <si>
    <t>Field Blank</t>
  </si>
  <si>
    <t>MWR-NE</t>
  </si>
  <si>
    <t>MWR-SE</t>
  </si>
  <si>
    <t>MWR-N/S</t>
  </si>
  <si>
    <t>Below Detection Limit</t>
  </si>
  <si>
    <t>Phosphorus</t>
  </si>
  <si>
    <t>Nitrate</t>
  </si>
  <si>
    <t>Chloride</t>
  </si>
  <si>
    <t>Sulfate</t>
  </si>
  <si>
    <t>Charge Balance</t>
  </si>
  <si>
    <t>Cations minus Anions</t>
  </si>
  <si>
    <t>Fluoride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</si>
</sst>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2" xfId="0" applyFont="1" applyBorder="1"/>
    <xf numFmtId="0" fontId="2" fillId="0" borderId="5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2" fontId="3" fillId="0" borderId="6" xfId="1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0" fontId="2" fillId="2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right"/>
    </xf>
    <xf numFmtId="0" fontId="4" fillId="3" borderId="4" xfId="0" applyFont="1" applyFill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2" fontId="2" fillId="3" borderId="3" xfId="0" applyNumberFormat="1" applyFont="1" applyFill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9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0" fontId="3" fillId="0" borderId="17" xfId="0" applyFont="1" applyBorder="1" applyAlignment="1">
      <alignment horizontal="center" vertical="center"/>
    </xf>
    <xf numFmtId="0" fontId="2" fillId="0" borderId="6" xfId="0" applyFont="1" applyBorder="1"/>
    <xf numFmtId="2" fontId="2" fillId="0" borderId="15" xfId="0" applyNumberFormat="1" applyFont="1" applyBorder="1"/>
    <xf numFmtId="2" fontId="2" fillId="0" borderId="16" xfId="0" applyNumberFormat="1" applyFont="1" applyBorder="1"/>
    <xf numFmtId="2" fontId="2" fillId="0" borderId="17" xfId="0" applyNumberFormat="1" applyFont="1" applyBorder="1"/>
    <xf numFmtId="0" fontId="0" fillId="0" borderId="1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90FD513D-CA45-40AC-97B0-398CD8C7AA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Charge Balance</a:t>
            </a:r>
            <a:endParaRPr lang="en-US" b="1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'Charge Balance'!$A$3:$A$6</c:f>
              <c:strCache>
                <c:ptCount val="4"/>
                <c:pt idx="0">
                  <c:v>Field Blank</c:v>
                </c:pt>
                <c:pt idx="1">
                  <c:v>MWR-NE</c:v>
                </c:pt>
                <c:pt idx="2">
                  <c:v>MWR-SE</c:v>
                </c:pt>
                <c:pt idx="3">
                  <c:v>MWR-N/S</c:v>
                </c:pt>
              </c:strCache>
            </c:strRef>
          </c:cat>
          <c:val>
            <c:numRef>
              <c:f>'Charge Balance'!$L$3:$L$6</c:f>
              <c:numCache>
                <c:formatCode>0.00</c:formatCode>
                <c:ptCount val="4"/>
                <c:pt idx="0">
                  <c:v>13.04</c:v>
                </c:pt>
                <c:pt idx="1">
                  <c:v>719.98708078758227</c:v>
                </c:pt>
                <c:pt idx="2">
                  <c:v>314.87570224260617</c:v>
                </c:pt>
                <c:pt idx="3">
                  <c:v>2890.451198820545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4-4F6F-882F-3D33E216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090768"/>
        <c:axId val="1036091248"/>
      </c:barChart>
      <c:catAx>
        <c:axId val="103609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91248"/>
        <c:crosses val="autoZero"/>
        <c:auto val="1"/>
        <c:lblAlgn val="ctr"/>
        <c:lblOffset val="100"/>
        <c:noMultiLvlLbl val="0"/>
      </c:catAx>
      <c:valAx>
        <c:axId val="1036091248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Cations</a:t>
                </a:r>
                <a:r>
                  <a:rPr lang="en-US" b="1" baseline="0">
                    <a:solidFill>
                      <a:schemeClr val="tx1"/>
                    </a:solidFill>
                  </a:rPr>
                  <a:t> Minus Anions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6985138004246284E-2"/>
              <c:y val="0.30845829278858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9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1285875</xdr:colOff>
      <xdr:row>7</xdr:row>
      <xdr:rowOff>9525</xdr:rowOff>
    </xdr:from>
    <xdr:to>
      <xdr:col>11</xdr:col>
      <xdr:colOff>266700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543CD4-7556-D735-C442-485CDDAA1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Normal="100" workbookViewId="0">
      <selection activeCell="R17" sqref="R17"/>
    </sheetView>
  </sheetViews>
  <sheetFormatPr defaultRowHeight="15" x14ac:dyDescent="0.25"/>
  <cols>
    <col min="1" max="1" width="22.140625" bestFit="1" customWidth="1"/>
    <col min="2" max="2" width="5" bestFit="1" customWidth="1"/>
    <col min="3" max="3" width="8.42578125" bestFit="1" customWidth="1"/>
    <col min="4" max="4" width="18.140625" bestFit="1" customWidth="1"/>
    <col min="5" max="5" width="25.5703125" bestFit="1" customWidth="1"/>
    <col min="6" max="6" width="17.7109375" customWidth="1"/>
    <col min="7" max="7" width="8.42578125" bestFit="1" customWidth="1"/>
    <col min="8" max="8" width="11.85546875" bestFit="1" customWidth="1"/>
    <col min="9" max="9" width="10.28515625" bestFit="1" customWidth="1"/>
    <col min="10" max="10" width="7.42578125" bestFit="1" customWidth="1"/>
    <col min="11" max="11" width="18.140625" bestFit="1" customWidth="1"/>
    <col min="12" max="12" width="10.5703125" bestFit="1" customWidth="1"/>
    <col min="13" max="13" width="8.42578125" bestFit="1" customWidth="1"/>
    <col min="14" max="16" width="18.140625" bestFit="1" customWidth="1"/>
    <col min="18" max="18" width="21.28515625" customWidth="1"/>
  </cols>
  <sheetData>
    <row r="1" spans="1:18" ht="15.75" x14ac:dyDescent="0.25">
      <c r="A1" s="1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9</v>
      </c>
      <c r="I1" s="3" t="s">
        <v>10</v>
      </c>
      <c r="J1" s="3" t="s">
        <v>5</v>
      </c>
      <c r="K1" s="3" t="s">
        <v>20</v>
      </c>
      <c r="L1" s="3" t="s">
        <v>7</v>
      </c>
      <c r="M1" s="3" t="s">
        <v>8</v>
      </c>
      <c r="N1" s="3" t="s">
        <v>22</v>
      </c>
      <c r="O1" s="3" t="s">
        <v>21</v>
      </c>
      <c r="P1" s="4" t="s">
        <v>23</v>
      </c>
      <c r="R1" s="21"/>
    </row>
    <row r="2" spans="1:18" ht="16.5" thickBot="1" x14ac:dyDescent="0.3">
      <c r="A2" s="2" t="s">
        <v>14</v>
      </c>
      <c r="B2" s="11"/>
      <c r="C2" s="12" t="s">
        <v>11</v>
      </c>
      <c r="D2" s="12" t="s">
        <v>12</v>
      </c>
      <c r="E2" s="12" t="s">
        <v>12</v>
      </c>
      <c r="F2" s="12" t="s">
        <v>12</v>
      </c>
      <c r="G2" s="12" t="s">
        <v>12</v>
      </c>
      <c r="H2" s="12" t="s">
        <v>12</v>
      </c>
      <c r="I2" s="12" t="s">
        <v>12</v>
      </c>
      <c r="J2" s="12" t="s">
        <v>12</v>
      </c>
      <c r="K2" s="12" t="s">
        <v>12</v>
      </c>
      <c r="L2" s="12" t="s">
        <v>12</v>
      </c>
      <c r="M2" s="12" t="s">
        <v>12</v>
      </c>
      <c r="N2" s="12" t="s">
        <v>12</v>
      </c>
      <c r="O2" s="12" t="s">
        <v>12</v>
      </c>
      <c r="P2" s="13" t="s">
        <v>12</v>
      </c>
      <c r="R2" s="22"/>
    </row>
    <row r="3" spans="1:18" ht="15.75" x14ac:dyDescent="0.25">
      <c r="A3" s="14" t="s">
        <v>15</v>
      </c>
      <c r="B3" s="17">
        <v>5.57</v>
      </c>
      <c r="C3" s="6">
        <v>20.46</v>
      </c>
      <c r="D3" s="5" t="s">
        <v>19</v>
      </c>
      <c r="E3" s="6">
        <v>13.87</v>
      </c>
      <c r="F3" s="5" t="s">
        <v>19</v>
      </c>
      <c r="G3" s="6">
        <v>6.81</v>
      </c>
      <c r="H3" s="6">
        <v>1.62</v>
      </c>
      <c r="I3" s="6">
        <v>0.47</v>
      </c>
      <c r="J3" s="6">
        <v>87.01</v>
      </c>
      <c r="K3" s="5" t="s">
        <v>19</v>
      </c>
      <c r="L3" s="6">
        <v>8.51</v>
      </c>
      <c r="M3" s="6">
        <v>7.47</v>
      </c>
      <c r="N3" s="5" t="s">
        <v>19</v>
      </c>
      <c r="O3" s="5" t="s">
        <v>19</v>
      </c>
      <c r="P3" s="18" t="s">
        <v>19</v>
      </c>
    </row>
    <row r="4" spans="1:18" ht="15.75" x14ac:dyDescent="0.25">
      <c r="A4" s="15" t="s">
        <v>16</v>
      </c>
      <c r="B4" s="19">
        <v>8.08</v>
      </c>
      <c r="C4" s="7">
        <v>5450.74</v>
      </c>
      <c r="D4" s="7">
        <v>2.79</v>
      </c>
      <c r="E4" s="7">
        <v>225.39</v>
      </c>
      <c r="F4" s="7">
        <v>186.34</v>
      </c>
      <c r="G4" s="7">
        <v>1243.4284340289475</v>
      </c>
      <c r="H4" s="7">
        <v>1711.3193233793168</v>
      </c>
      <c r="I4" s="7">
        <v>0.26</v>
      </c>
      <c r="J4" s="7">
        <v>342.9</v>
      </c>
      <c r="K4" s="7">
        <v>0.33</v>
      </c>
      <c r="L4" s="7">
        <v>44.12</v>
      </c>
      <c r="M4" s="7">
        <v>1468.27</v>
      </c>
      <c r="N4" s="39">
        <v>785.7</v>
      </c>
      <c r="O4" s="39">
        <v>271.89999999999998</v>
      </c>
      <c r="P4" s="40">
        <v>209.20000000000002</v>
      </c>
    </row>
    <row r="5" spans="1:18" ht="15.75" x14ac:dyDescent="0.25">
      <c r="A5" s="15" t="s">
        <v>17</v>
      </c>
      <c r="B5" s="19">
        <v>7.64</v>
      </c>
      <c r="C5" s="7">
        <v>5188.08</v>
      </c>
      <c r="D5" s="7">
        <v>16.07</v>
      </c>
      <c r="E5" s="7">
        <v>1023.05</v>
      </c>
      <c r="F5" s="7">
        <v>54.97</v>
      </c>
      <c r="G5" s="7">
        <v>1200.5272329528225</v>
      </c>
      <c r="H5" s="7">
        <v>1471.7092346448919</v>
      </c>
      <c r="I5" s="7">
        <v>0.37</v>
      </c>
      <c r="J5" s="7">
        <v>264.89999999999998</v>
      </c>
      <c r="K5" s="7">
        <v>2.38</v>
      </c>
      <c r="L5" s="7">
        <v>163.19999999999999</v>
      </c>
      <c r="M5" s="7">
        <v>1088.25</v>
      </c>
      <c r="N5" s="39">
        <v>828.96</v>
      </c>
      <c r="O5" s="39">
        <v>31.13</v>
      </c>
      <c r="P5" s="40">
        <v>57.44</v>
      </c>
    </row>
    <row r="6" spans="1:18" ht="16.5" thickBot="1" x14ac:dyDescent="0.3">
      <c r="A6" s="16" t="s">
        <v>18</v>
      </c>
      <c r="B6" s="20">
        <v>7.56</v>
      </c>
      <c r="C6" s="8">
        <v>6584.9</v>
      </c>
      <c r="D6" s="9">
        <v>333.36</v>
      </c>
      <c r="E6" s="10">
        <v>4566.51</v>
      </c>
      <c r="F6" s="8">
        <v>208.47</v>
      </c>
      <c r="G6" s="8">
        <v>4293.0173143338716</v>
      </c>
      <c r="H6" s="8">
        <v>1263.1831500307962</v>
      </c>
      <c r="I6" s="8">
        <v>3.42</v>
      </c>
      <c r="J6" s="8">
        <v>145.63999999999999</v>
      </c>
      <c r="K6" s="8">
        <v>122.41</v>
      </c>
      <c r="L6" s="10">
        <v>1277.2875844250798</v>
      </c>
      <c r="M6" s="8">
        <v>1608.65</v>
      </c>
      <c r="N6" s="41">
        <v>1758.21</v>
      </c>
      <c r="O6" s="41">
        <v>2.08</v>
      </c>
      <c r="P6" s="42">
        <v>31.509999999999998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5647-99C8-4C94-9C92-B613E0596700}">
  <dimension ref="A1:L6"/>
  <sheetViews>
    <sheetView zoomScaleNormal="100" workbookViewId="0">
      <selection activeCell="N22" sqref="N22"/>
    </sheetView>
  </sheetViews>
  <sheetFormatPr defaultRowHeight="15" x14ac:dyDescent="0.25"/>
  <cols>
    <col min="1" max="1" width="22.140625" bestFit="1" customWidth="1"/>
    <col min="2" max="2" width="8.42578125" bestFit="1" customWidth="1"/>
    <col min="3" max="3" width="10.5703125" bestFit="1" customWidth="1"/>
    <col min="4" max="4" width="11.85546875" bestFit="1" customWidth="1"/>
    <col min="5" max="6" width="8.42578125" bestFit="1" customWidth="1"/>
    <col min="7" max="7" width="8.7109375" bestFit="1" customWidth="1"/>
    <col min="8" max="9" width="7.42578125" bestFit="1" customWidth="1"/>
    <col min="10" max="10" width="8.42578125" bestFit="1" customWidth="1"/>
    <col min="12" max="12" width="21.28515625" customWidth="1"/>
  </cols>
  <sheetData>
    <row r="1" spans="1:12" ht="15.75" x14ac:dyDescent="0.25">
      <c r="A1" s="1" t="s">
        <v>13</v>
      </c>
      <c r="B1" s="3" t="s">
        <v>6</v>
      </c>
      <c r="C1" s="3" t="s">
        <v>7</v>
      </c>
      <c r="D1" s="3" t="s">
        <v>9</v>
      </c>
      <c r="E1" s="3" t="s">
        <v>8</v>
      </c>
      <c r="F1" s="3" t="s">
        <v>26</v>
      </c>
      <c r="G1" s="3" t="s">
        <v>22</v>
      </c>
      <c r="H1" s="3" t="s">
        <v>23</v>
      </c>
      <c r="I1" s="3" t="s">
        <v>21</v>
      </c>
      <c r="J1" s="4" t="s">
        <v>1</v>
      </c>
      <c r="L1" s="26" t="s">
        <v>24</v>
      </c>
    </row>
    <row r="2" spans="1:12" ht="16.5" thickBot="1" x14ac:dyDescent="0.3">
      <c r="A2" s="2" t="s">
        <v>14</v>
      </c>
      <c r="B2" s="24" t="s">
        <v>12</v>
      </c>
      <c r="C2" s="24" t="s">
        <v>12</v>
      </c>
      <c r="D2" s="24" t="s">
        <v>12</v>
      </c>
      <c r="E2" s="24" t="s">
        <v>12</v>
      </c>
      <c r="F2" s="24" t="s">
        <v>12</v>
      </c>
      <c r="G2" s="24" t="s">
        <v>12</v>
      </c>
      <c r="H2" s="24" t="s">
        <v>12</v>
      </c>
      <c r="I2" s="24" t="s">
        <v>12</v>
      </c>
      <c r="J2" s="25" t="s">
        <v>11</v>
      </c>
      <c r="L2" s="34" t="s">
        <v>25</v>
      </c>
    </row>
    <row r="3" spans="1:12" ht="15.75" x14ac:dyDescent="0.25">
      <c r="A3" s="26" t="s">
        <v>15</v>
      </c>
      <c r="B3" s="17">
        <v>6.81</v>
      </c>
      <c r="C3" s="6">
        <v>8.51</v>
      </c>
      <c r="D3" s="6">
        <v>1.62</v>
      </c>
      <c r="E3" s="6">
        <v>7.47</v>
      </c>
      <c r="F3" s="30">
        <v>0</v>
      </c>
      <c r="G3" s="30">
        <v>0</v>
      </c>
      <c r="H3" s="30">
        <v>0</v>
      </c>
      <c r="I3" s="30">
        <v>0</v>
      </c>
      <c r="J3" s="31">
        <v>20.46</v>
      </c>
      <c r="L3" s="36">
        <f>B3+C3+2*D3+2*E3-F3-G3-2*H3-I3-J3</f>
        <v>13.04</v>
      </c>
    </row>
    <row r="4" spans="1:12" ht="15.75" x14ac:dyDescent="0.25">
      <c r="A4" s="27" t="s">
        <v>16</v>
      </c>
      <c r="B4" s="19">
        <v>1243.4284340289475</v>
      </c>
      <c r="C4" s="7">
        <v>44.12</v>
      </c>
      <c r="D4" s="7">
        <v>1711.3193233793168</v>
      </c>
      <c r="E4" s="7">
        <v>1468.27</v>
      </c>
      <c r="F4" s="29">
        <v>0</v>
      </c>
      <c r="G4" s="23">
        <v>785.7</v>
      </c>
      <c r="H4" s="23">
        <v>209.20000000000002</v>
      </c>
      <c r="I4" s="23">
        <v>271.89999999999998</v>
      </c>
      <c r="J4" s="32">
        <v>5450.74</v>
      </c>
      <c r="L4" s="37">
        <f t="shared" ref="L4:L6" si="0">B4+C4+2*D4+2*E4-F4-G4-2*H4-I4-J4</f>
        <v>719.98708078758227</v>
      </c>
    </row>
    <row r="5" spans="1:12" ht="15.75" x14ac:dyDescent="0.25">
      <c r="A5" s="27" t="s">
        <v>17</v>
      </c>
      <c r="B5" s="19">
        <v>1200.5272329528225</v>
      </c>
      <c r="C5" s="7">
        <v>163.19999999999999</v>
      </c>
      <c r="D5" s="7">
        <v>1471.7092346448919</v>
      </c>
      <c r="E5" s="7">
        <v>1088.25</v>
      </c>
      <c r="F5" s="7">
        <v>5.72</v>
      </c>
      <c r="G5" s="23">
        <v>828.96</v>
      </c>
      <c r="H5" s="23">
        <v>57.44</v>
      </c>
      <c r="I5" s="23">
        <v>31.13</v>
      </c>
      <c r="J5" s="32">
        <v>5188.08</v>
      </c>
      <c r="L5" s="37">
        <f t="shared" si="0"/>
        <v>314.87570224260617</v>
      </c>
    </row>
    <row r="6" spans="1:12" ht="16.5" thickBot="1" x14ac:dyDescent="0.3">
      <c r="A6" s="28" t="s">
        <v>18</v>
      </c>
      <c r="B6" s="20">
        <v>4293.0173143338716</v>
      </c>
      <c r="C6" s="10">
        <v>1277.2875844250798</v>
      </c>
      <c r="D6" s="8">
        <v>1263.1831500307962</v>
      </c>
      <c r="E6" s="8">
        <v>1608.65</v>
      </c>
      <c r="F6" s="8">
        <v>15.31</v>
      </c>
      <c r="G6" s="35">
        <v>1758.21</v>
      </c>
      <c r="H6" s="35">
        <v>31.509999999999998</v>
      </c>
      <c r="I6" s="35">
        <v>2.08</v>
      </c>
      <c r="J6" s="33">
        <v>6584.9</v>
      </c>
      <c r="L6" s="38">
        <f t="shared" si="0"/>
        <v>2890.451198820545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Charge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 Glinski</dc:creator>
  <cp:lastModifiedBy>Michael J Glinski</cp:lastModifiedBy>
  <dcterms:created xsi:type="dcterms:W3CDTF">2015-06-05T18:17:20Z</dcterms:created>
  <dcterms:modified xsi:type="dcterms:W3CDTF">2025-05-09T14:05:39Z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